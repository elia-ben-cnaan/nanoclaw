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בסיס החישוב" sheetId="1" state="visible" r:id="rId3"/>
    <sheet name="2. בחירת שותפים" sheetId="2" state="visible" r:id="rId4"/>
    <sheet name="3. פעילות שבועית (12 שבועות)" sheetId="3" state="visible" r:id="rId5"/>
    <sheet name="4. תרחיש שמרני (100K)" sheetId="4" state="visible" r:id="rId6"/>
    <sheet name="5. תרחיש עליון (140K+)" sheetId="5" state="visible" r:id="rId7"/>
    <sheet name="6. השוואת תרחישים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<sst xmlns="http://schemas.openxmlformats.org/spreadsheetml/2006/main" count="344" uniqueCount="242">
  <si>
    <t xml:space="preserve">בסיס החישוב — הנחות מתועדות ומוצדקות</t>
  </si>
  <si>
    <t xml:space="preserve">נתוני PayMe (מהמשימה)</t>
  </si>
  <si>
    <t xml:space="preserve">מוצר</t>
  </si>
  <si>
    <t xml:space="preserve">ARPU (ש"ח)</t>
  </si>
  <si>
    <t xml:space="preserve">שיעור הפעלה</t>
  </si>
  <si>
    <t xml:space="preserve">מחזור מכירה</t>
  </si>
  <si>
    <t xml:space="preserve">גיאוגרפיה</t>
  </si>
  <si>
    <t xml:space="preserve">Payments</t>
  </si>
  <si>
    <t xml:space="preserve">15%</t>
  </si>
  <si>
    <t xml:space="preserve">4 שבועות</t>
  </si>
  <si>
    <t xml:space="preserve">ישראל, ארה"ב, אירופה</t>
  </si>
  <si>
    <t xml:space="preserve">Accounting</t>
  </si>
  <si>
    <t xml:space="preserve">25%</t>
  </si>
  <si>
    <t xml:space="preserve">2 שבועות</t>
  </si>
  <si>
    <t xml:space="preserve">ישראל בלבד</t>
  </si>
  <si>
    <t xml:space="preserve">Promoter</t>
  </si>
  <si>
    <t xml:space="preserve">הנחות לפי שותף</t>
  </si>
  <si>
    <t xml:space="preserve">שותף</t>
  </si>
  <si>
    <t xml:space="preserve">עסקים באקוסיסטם</t>
  </si>
  <si>
    <t xml:space="preserve">מקור ההערכה</t>
  </si>
  <si>
    <t xml:space="preserve">חשיפה Conservative</t>
  </si>
  <si>
    <t xml:space="preserve">חשיפה Upside</t>
  </si>
  <si>
    <t xml:space="preserve">הצדקה</t>
  </si>
  <si>
    <t xml:space="preserve">תן ביס</t>
  </si>
  <si>
    <t xml:space="preserve">~6,000 שליחים</t>
  </si>
  <si>
    <t xml:space="preserve">כלכליסט (2025): 700 שכירים הפכו עצמאיים + אלפי קיימים</t>
  </si>
  <si>
    <t xml:space="preserve">15% (900)</t>
  </si>
  <si>
    <t xml:space="preserve">30% (1,800)</t>
  </si>
  <si>
    <t xml:space="preserve">PoC Wolt מוכח. Sales Cycle קצר. Conservative=Pilot, Upside=Rollout מהיר.</t>
  </si>
  <si>
    <t xml:space="preserve">Plannie</t>
  </si>
  <si>
    <t xml:space="preserve">~3,000 עסקים</t>
  </si>
  <si>
    <t xml:space="preserve">מחקר שוק — פלטפורמת תורים ישראלית</t>
  </si>
  <si>
    <t xml:space="preserve">10% (300)</t>
  </si>
  <si>
    <t xml:space="preserve">20% (600)</t>
  </si>
  <si>
    <t xml:space="preserve">אין סליקה חזקה=Fit טבעי. חברה קטנה=אינטגרציה לוקחת זמן.</t>
  </si>
  <si>
    <t xml:space="preserve">Arbox</t>
  </si>
  <si>
    <t xml:space="preserve">~7,000 עסקים</t>
  </si>
  <si>
    <t xml:space="preserve">אתר Arbox: "אלפי עסקים". Capterra reviews.</t>
  </si>
  <si>
    <t xml:space="preserve">5% (350)</t>
  </si>
  <si>
    <t xml:space="preserve">10% (700)</t>
  </si>
  <si>
    <t xml:space="preserve">Deal גדול. Sales Cycle 6-8 שבועות. חודש 4=תחילת Rollout.</t>
  </si>
  <si>
    <t xml:space="preserve">אסותא</t>
  </si>
  <si>
    <t xml:space="preserve">~400 רופאים</t>
  </si>
  <si>
    <t xml:space="preserve">אתר אסותא: עשרות קבוצות רופאים</t>
  </si>
  <si>
    <t xml:space="preserve">5% (20)</t>
  </si>
  <si>
    <t xml:space="preserve">~12% (50)</t>
  </si>
  <si>
    <t xml:space="preserve">ארגון גדול. Pilot איטי. Conservative=קבוצה אחת. Upside=2 קבוצות+HMC.</t>
  </si>
  <si>
    <t xml:space="preserve">יאנגו דלי</t>
  </si>
  <si>
    <t xml:space="preserve">~2,000 שליחים</t>
  </si>
  <si>
    <t xml:space="preserve">מחקר — חברת בת Yandex, פעילה בגוש דן</t>
  </si>
  <si>
    <t xml:space="preserve">10% (200)</t>
  </si>
  <si>
    <t xml:space="preserve">20% (400)</t>
  </si>
  <si>
    <t xml:space="preserve">אותו מודל כמו Wolt. חברה בינלאומית=החלטות לא תמיד מקומיות.</t>
  </si>
  <si>
    <t xml:space="preserve">Wolt הרחבה (קיים)</t>
  </si>
  <si>
    <t xml:space="preserve">~10,000 שליחים</t>
  </si>
  <si>
    <t xml:space="preserve">PayMe Case Study + ויקיפדיה: 150K שליחים גלובלי</t>
  </si>
  <si>
    <t xml:space="preserve">10% חדשים (1,000)</t>
  </si>
  <si>
    <t xml:space="preserve">15% חדשים (1,500)</t>
  </si>
  <si>
    <t xml:space="preserve">כבר בפנים. עבודה על Activation, לא על סגירה.</t>
  </si>
  <si>
    <t xml:space="preserve">Wolt Merchants (חדש)</t>
  </si>
  <si>
    <t xml:space="preserve">~4,000 מסעדות</t>
  </si>
  <si>
    <t xml:space="preserve">Wolt: 70K+ merchant partners גלובלי. ישראל ~4,000</t>
  </si>
  <si>
    <t xml:space="preserve">5% (200)</t>
  </si>
  <si>
    <t xml:space="preserve">10% (400)</t>
  </si>
  <si>
    <t xml:space="preserve">מוצר חדש ל-Merchants. צריך שכנוע פנימי ב-Wolt.</t>
  </si>
  <si>
    <t xml:space="preserve">Wix Upsell</t>
  </si>
  <si>
    <t xml:space="preserve">~20,000 סוחרים IL</t>
  </si>
  <si>
    <t xml:space="preserve">Wix: מיליוני משתמשים. ישראל ~20,000 פעילים</t>
  </si>
  <si>
    <t xml:space="preserve">3% (600)</t>
  </si>
  <si>
    <t xml:space="preserve">5% (1,000)</t>
  </si>
  <si>
    <t xml:space="preserve">צריך הסכם פנימי. Wix Payments לא זמין ב-IL=כאב אמיתי.</t>
  </si>
  <si>
    <t xml:space="preserve">Isracard/Cal</t>
  </si>
  <si>
    <t xml:space="preserve">~50,000 עסקים</t>
  </si>
  <si>
    <t xml:space="preserve">Isracard: מהמנפיקים הגדולים בישראל</t>
  </si>
  <si>
    <t xml:space="preserve">0% (לא מספיק)</t>
  </si>
  <si>
    <t xml:space="preserve">1% (500)</t>
  </si>
  <si>
    <t xml:space="preserve">ערוץ ענק אבל תהליך ארגוני. רק ב-Upside מספיק בחודש 4.</t>
  </si>
  <si>
    <t xml:space="preserve">נוסחה: MRR = (עסקים × % חשיפה × שיעור הפעלה × ARPU). חשיפה הדרגתית לפי חודש: חודש 1=signing, חודש 2=10-30%, חודש 3=40-60%, חודש 4=100%.</t>
  </si>
  <si>
    <t xml:space="preserve">טבלת בחירת שותפים</t>
  </si>
  <si>
    <t xml:space="preserve">10 שותפים: 6 Outbound (חדשים) + 4 Inbound (הרחבת קיימים). ירוק=Inbound.</t>
  </si>
  <si>
    <t xml:space="preserve">שם השותף</t>
  </si>
  <si>
    <t xml:space="preserve">רלוונטיות להפצת אילו מוצרים?</t>
  </si>
  <si>
    <t xml:space="preserve">כמות עסקים/מוכרים (הערכה)</t>
  </si>
  <si>
    <t xml:space="preserve">למה נבחר?</t>
  </si>
  <si>
    <t xml:space="preserve">תן ביס (Outbound)</t>
  </si>
  <si>
    <t xml:space="preserve">Accounting (עיקרי), Payments (משני)</t>
  </si>
  <si>
    <t xml:space="preserve">~5,000-8,000 שליחים עצמאיים</t>
  </si>
  <si>
    <t xml:space="preserve">עברה ב-2025 ל-100% עצמאיים. כיום עובדת עם Keycost (99 ש"ח/חודש). מודל Wolt מוכח. Quick Win.</t>
  </si>
  <si>
    <t xml:space="preserve">יאנגו דלי (Outbound)</t>
  </si>
  <si>
    <t xml:space="preserve">~1,000-3,000 שליחים</t>
  </si>
  <si>
    <t xml:space="preserve">חברת בת Yandex. שליחים עצמאיים בגוש דן. אותו מודל כמו Wolt/תן ביס.</t>
  </si>
  <si>
    <t xml:space="preserve">Arbox — שותפות (Outbound)</t>
  </si>
  <si>
    <t xml:space="preserve">Accounting + Promoter (כתוספת)</t>
  </si>
  <si>
    <t xml:space="preserve">5,000-10,000 עסקים (כושר, יופי, קליניקות)</t>
  </si>
  <si>
    <t xml:space="preserve">פלטפורמת ניהול מובילה. כבר כוללת סליקה. חסר: הנהלת חשבונות + שיווק. PayMe משלימה כ-Add-on.</t>
  </si>
  <si>
    <t xml:space="preserve">Plannie — שותפות (Outbound)</t>
  </si>
  <si>
    <t xml:space="preserve">Payments + Accounting</t>
  </si>
  <si>
    <t xml:space="preserve">~2,000-5,000 עסקים (יופי, שירותים)</t>
  </si>
  <si>
    <t xml:space="preserve">פלטפורמת תורים ישראלית. חלשה בסליקה/חשבוניות. PayMe=Fit טבעי.</t>
  </si>
  <si>
    <t xml:space="preserve">אסותא (Outbound)</t>
  </si>
  <si>
    <t xml:space="preserve">Accounting + Payments</t>
  </si>
  <si>
    <t xml:space="preserve">~300-500 רופאים עצמאיים</t>
  </si>
  <si>
    <t xml:space="preserve">רשת בתי חולים פרטיים הגדולה. רופאים=עצמאיים. עסקה אחת=מאות רופאים. Credibility גבוה.</t>
  </si>
  <si>
    <t xml:space="preserve">הרצליה מדיקל סנטר (Outbound)</t>
  </si>
  <si>
    <t xml:space="preserve">~500 רופאים מומחים</t>
  </si>
  <si>
    <t xml:space="preserve">בי"ח פרטי פרימיום. ~500 מומחים עצמאיים. אות איכות חזק.</t>
  </si>
  <si>
    <t xml:space="preserve">Wolt Merchants (Inbound)</t>
  </si>
  <si>
    <t xml:space="preserve">Accounting + Promoter (למסעדות)</t>
  </si>
  <si>
    <t xml:space="preserve">~3,000-5,000 עסקים</t>
  </si>
  <si>
    <t xml:space="preserve">PayMe כבר משרתת שליחי Wolt. ל-Merchants אין שירות פיננסי מ-PayMe. Upsell על יחסים קיימים.</t>
  </si>
  <si>
    <t xml:space="preserve">Wix Upsell (Inbound)</t>
  </si>
  <si>
    <t xml:space="preserve">Accounting + Promoter (לסוחרים IL)</t>
  </si>
  <si>
    <t xml:space="preserve">~10,000-30,000 סוחרים</t>
  </si>
  <si>
    <t xml:space="preserve">סוחרים כבר על PayMe Payments. Wix Payments לא זמין ב-IL. חסר חשבוניות ישראליות.</t>
  </si>
  <si>
    <t xml:space="preserve">Isracard/Cal (Inbound)</t>
  </si>
  <si>
    <t xml:space="preserve">Accounting + Promoter (חבילה)</t>
  </si>
  <si>
    <t xml:space="preserve">~50,000+ עסקים</t>
  </si>
  <si>
    <t xml:space="preserve">כבר מפיצים PayMe Payments. הוספת Accounting+Promoter מבדלת מול מתחרים.</t>
  </si>
  <si>
    <t xml:space="preserve">Zester Upsell (Inbound)</t>
  </si>
  <si>
    <t xml:space="preserve">Accounting (למסעדות)</t>
  </si>
  <si>
    <t xml:space="preserve">~500-1,000 מסעדות</t>
  </si>
  <si>
    <t xml:space="preserve">כבר PayMe לתשלומי ספקים. הוספת Accounting=מעטפת שלמה.</t>
  </si>
  <si>
    <t xml:space="preserve">מקרא:</t>
  </si>
  <si>
    <t xml:space="preserve">ירוק = Inbound (הרחבת שותפים קיימים)</t>
  </si>
  <si>
    <t xml:space="preserve">לבן = Outbound (שותפויות חדשות)</t>
  </si>
  <si>
    <t xml:space="preserve">פעילות שבועית והתקדמות שותפים (שבועות 1-12)</t>
  </si>
  <si>
    <t xml:space="preserve">חודש 1</t>
  </si>
  <si>
    <t xml:space="preserve">חודש 2</t>
  </si>
  <si>
    <t xml:space="preserve">חודש 3</t>
  </si>
  <si>
    <t xml:space="preserve">שבוע 1</t>
  </si>
  <si>
    <t xml:space="preserve">שבוע 2</t>
  </si>
  <si>
    <t xml:space="preserve">שבוע 3</t>
  </si>
  <si>
    <t xml:space="preserve">שבוע 4</t>
  </si>
  <si>
    <t xml:space="preserve">שבוע 5</t>
  </si>
  <si>
    <t xml:space="preserve">שבוע 6</t>
  </si>
  <si>
    <t xml:space="preserve">שבוע 7</t>
  </si>
  <si>
    <t xml:space="preserve">שבוע 8</t>
  </si>
  <si>
    <t xml:space="preserve">שבוע 9</t>
  </si>
  <si>
    <t xml:space="preserve">שבוע 10</t>
  </si>
  <si>
    <t xml:space="preserve">שבוע 11</t>
  </si>
  <si>
    <t xml:space="preserve">שבוע 12</t>
  </si>
  <si>
    <t xml:space="preserve">מחקר + מיפוי מקבלי החלטות</t>
  </si>
  <si>
    <t xml:space="preserve">פנייה ראשונית (LinkedIn + מייל)</t>
  </si>
  <si>
    <t xml:space="preserve">פגישה: הצגת Case Study של Wolt</t>
  </si>
  <si>
    <t xml:space="preserve">Follow-up + הצעה</t>
  </si>
  <si>
    <t xml:space="preserve">משא ומתן + תנאים</t>
  </si>
  <si>
    <t xml:space="preserve">חתימה על שותפות</t>
  </si>
  <si>
    <t xml:space="preserve">אינטגרציה טכנית</t>
  </si>
  <si>
    <t xml:space="preserve">Pilot — 100 שליחים</t>
  </si>
  <si>
    <t xml:space="preserve">הרחבה ל-500</t>
  </si>
  <si>
    <t xml:space="preserve">Rollout מלא</t>
  </si>
  <si>
    <t xml:space="preserve">אופטימיזציית Activation</t>
  </si>
  <si>
    <t xml:space="preserve">מדידת MRR + Scale</t>
  </si>
  <si>
    <t xml:space="preserve">Payments+Accounting</t>
  </si>
  <si>
    <t xml:space="preserve">מחקר פערי מוצר</t>
  </si>
  <si>
    <t xml:space="preserve">פנייה ראשונית</t>
  </si>
  <si>
    <t xml:space="preserve">פגישה: חבילת Payments+Accounting</t>
  </si>
  <si>
    <t xml:space="preserve">הצעה + דמו</t>
  </si>
  <si>
    <t xml:space="preserve">חתימה</t>
  </si>
  <si>
    <t xml:space="preserve">השקה רכה — 50 עסקים</t>
  </si>
  <si>
    <t xml:space="preserve">הרחבה ל-200</t>
  </si>
  <si>
    <t xml:space="preserve">אופטימיזציית Onboarding</t>
  </si>
  <si>
    <t xml:space="preserve">הוספת Promoter</t>
  </si>
  <si>
    <t xml:space="preserve">מדידה + Scale</t>
  </si>
  <si>
    <t xml:space="preserve">Accounting+Promoter</t>
  </si>
  <si>
    <t xml:space="preserve">מחקר אקוסיסטם Arbox</t>
  </si>
  <si>
    <t xml:space="preserve">זיהוי Decision Makers</t>
  </si>
  <si>
    <t xml:space="preserve">פנייה + One-Pager</t>
  </si>
  <si>
    <t xml:space="preserve">פגישה: Accounting כ-Add-on</t>
  </si>
  <si>
    <t xml:space="preserve">דיון טכני</t>
  </si>
  <si>
    <t xml:space="preserve">משא ומתן תנאים</t>
  </si>
  <si>
    <t xml:space="preserve">חתימת LOI</t>
  </si>
  <si>
    <t xml:space="preserve">פיתוח אינטגרציה</t>
  </si>
  <si>
    <t xml:space="preserve">Beta — 100 עסקים</t>
  </si>
  <si>
    <t xml:space="preserve">אסותא Pilot</t>
  </si>
  <si>
    <t xml:space="preserve">Accounting+Payments</t>
  </si>
  <si>
    <t xml:space="preserve">מיפוי קבוצות רופאים</t>
  </si>
  <si>
    <t xml:space="preserve">פנייה ל-2-3 קבוצות</t>
  </si>
  <si>
    <t xml:space="preserve">פגישה עם קבוצה ראשונה</t>
  </si>
  <si>
    <t xml:space="preserve">הצעת Pilot</t>
  </si>
  <si>
    <t xml:space="preserve">חתימת Pilot</t>
  </si>
  <si>
    <t xml:space="preserve">Onboarding 10-20 רופאים</t>
  </si>
  <si>
    <t xml:space="preserve">מדידת תוצאות</t>
  </si>
  <si>
    <t xml:space="preserve">הצגה להנהלת אסותא</t>
  </si>
  <si>
    <t xml:space="preserve">הרחבה לקבוצה שנייה</t>
  </si>
  <si>
    <t xml:space="preserve">קבוצה שלישית</t>
  </si>
  <si>
    <t xml:space="preserve">פנייה ל-HMC עם Case Study</t>
  </si>
  <si>
    <t xml:space="preserve">המשך הרחבה</t>
  </si>
  <si>
    <t xml:space="preserve">ניתוח נתוני Merchants</t>
  </si>
  <si>
    <t xml:space="preserve">פגישה פנימית עם Wolt Ops</t>
  </si>
  <si>
    <t xml:space="preserve">הצעה: Accounting למסעדות</t>
  </si>
  <si>
    <t xml:space="preserve">יישור תוכנית Rollout</t>
  </si>
  <si>
    <t xml:space="preserve">Pilot 50 מסעדות</t>
  </si>
  <si>
    <t xml:space="preserve">מדידת Activation</t>
  </si>
  <si>
    <t xml:space="preserve">Scale Promoter</t>
  </si>
  <si>
    <t xml:space="preserve">מדידת MRR משולב</t>
  </si>
  <si>
    <t xml:space="preserve">ניתוח בסיס סוחרים IL</t>
  </si>
  <si>
    <t xml:space="preserve">פגישה עם צוות Fintech Wix</t>
  </si>
  <si>
    <t xml:space="preserve">הצעה: חבילת Accounting</t>
  </si>
  <si>
    <t xml:space="preserve">הגדרת היקף</t>
  </si>
  <si>
    <t xml:space="preserve">תכנון טכני</t>
  </si>
  <si>
    <t xml:space="preserve">התחלת פיתוח</t>
  </si>
  <si>
    <t xml:space="preserve">Beta 100 סוחרים</t>
  </si>
  <si>
    <t xml:space="preserve">הרחבת Beta</t>
  </si>
  <si>
    <t xml:space="preserve">השקה רכה</t>
  </si>
  <si>
    <t xml:space="preserve">Scale + אופטימיזציה</t>
  </si>
  <si>
    <t xml:space="preserve">מיפוי בסיס לקוחות</t>
  </si>
  <si>
    <t xml:space="preserve">פגישה פנימית</t>
  </si>
  <si>
    <t xml:space="preserve">הצגת חבילה</t>
  </si>
  <si>
    <t xml:space="preserve">בניית Business Case</t>
  </si>
  <si>
    <t xml:space="preserve">משא ומתן</t>
  </si>
  <si>
    <t xml:space="preserve">חתימת הסכם הרחבה</t>
  </si>
  <si>
    <t xml:space="preserve">תכנון אינטגרציה</t>
  </si>
  <si>
    <t xml:space="preserve">Beta</t>
  </si>
  <si>
    <t xml:space="preserve">הרחבה</t>
  </si>
  <si>
    <t xml:space="preserve">השקת Promoter</t>
  </si>
  <si>
    <t xml:space="preserve">Scale</t>
  </si>
  <si>
    <t xml:space="preserve">תרחיש שמרני (Conservative) — רף תחתון: 100,000 ש"ח MRR</t>
  </si>
  <si>
    <t xml:space="preserve">הנחות: 60% סגירה, חשיפה שמרנית, Promoter מינימלי, Isracard לא מספיק בזמן.</t>
  </si>
  <si>
    <t xml:space="preserve">נחשפים חודש 4</t>
  </si>
  <si>
    <t xml:space="preserve">פעילים חודש 4</t>
  </si>
  <si>
    <t xml:space="preserve">ARPU</t>
  </si>
  <si>
    <t xml:space="preserve">חודש 4</t>
  </si>
  <si>
    <t xml:space="preserve">20%</t>
  </si>
  <si>
    <t xml:space="preserve">Wolt Merchants</t>
  </si>
  <si>
    <t xml:space="preserve">סה"כ MRR</t>
  </si>
  <si>
    <t xml:space="preserve">יעד</t>
  </si>
  <si>
    <t xml:space="preserve">פער מהיעד</t>
  </si>
  <si>
    <t xml:space="preserve">תרחיש עליון (Upside) — רף עליון: ~141,000 ש"ח MRR</t>
  </si>
  <si>
    <t xml:space="preserve">הנחות: 80% סגירה, חשיפה מואצת, Promoter מצליח ב-Arbox, Isracard מצטרף בחודש 4.</t>
  </si>
  <si>
    <t xml:space="preserve">אסותא + HMC</t>
  </si>
  <si>
    <t xml:space="preserve">עודף מעל יעד</t>
  </si>
  <si>
    <t xml:space="preserve">השוואת תרחישים — סיכום</t>
  </si>
  <si>
    <t xml:space="preserve">שמרני (Conservative)</t>
  </si>
  <si>
    <t xml:space="preserve">עליון (Upside)</t>
  </si>
  <si>
    <t xml:space="preserve">מה משתנה בין התרחישים:</t>
  </si>
  <si>
    <t xml:space="preserve">1. חשיפה: שמרני 15% מהאקוסיסטם, עליון 30% — תלוי במהירות Rollout של השותף</t>
  </si>
  <si>
    <t xml:space="preserve">2. סגירת עסקאות: שמרני 60%, עליון 80%</t>
  </si>
  <si>
    <t xml:space="preserve">3. Promoter: בשמרני כמעט לא (ARPU נמוך), בעליון Arbox+Wix מפעילים אותו (ARPU גבוה)</t>
  </si>
  <si>
    <t xml:space="preserve">4. Isracard/Cal: בשמרני לא מספיק בזמן (0 בחודש 4), בעליון מצטרף (5,000 ש"ח)</t>
  </si>
  <si>
    <t xml:space="preserve">5. אסותא: בשמרני קבוצה אחת (20 רופאים), בעליון 2 קבוצות+HMC (50 רופאים)</t>
  </si>
  <si>
    <t xml:space="preserve">6. מנוע Inbound בשמרני: רק Wolt הרחבה+Wix. בעליון: גם Isracard+Wolt Merchants מצליחים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</si>
</sst>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C5E"/>
      <name val="Arial"/>
      <family val="0"/>
      <charset val="1"/>
    </font>
    <font>
      <b val="true"/>
      <sz val="11"/>
      <color rgb="FF2A5C8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color rgb="FF2A5C8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0"/>
      <color rgb="FF1D834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C6EFCE"/>
        <bgColor rgb="FFD6E4F0"/>
      </patternFill>
    </fill>
    <fill>
      <patternFill patternType="solid">
        <fgColor rgb="FFD6E4F0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5C8E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C5E"/>
      <rgbColor rgb="FF1D8348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A1:F2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5" min="4" style="0" width="22"/>
    <col collapsed="false" customWidth="true" hidden="false" outlineLevel="0" max="6" min="6" style="0" width="55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100</v>
      </c>
      <c r="C5" s="4" t="s">
        <v>8</v>
      </c>
      <c r="D5" s="4" t="s">
        <v>9</v>
      </c>
      <c r="E5" s="4" t="s">
        <v>10</v>
      </c>
    </row>
    <row r="6" customFormat="false" ht="15" hidden="false" customHeight="false" outlineLevel="0" collapsed="false">
      <c r="A6" s="4" t="s">
        <v>11</v>
      </c>
      <c r="B6" s="5" t="n">
        <v>150</v>
      </c>
      <c r="C6" s="4" t="s">
        <v>12</v>
      </c>
      <c r="D6" s="4" t="s">
        <v>13</v>
      </c>
      <c r="E6" s="4" t="s">
        <v>14</v>
      </c>
    </row>
    <row r="7" customFormat="false" ht="15" hidden="false" customHeight="false" outlineLevel="0" collapsed="false">
      <c r="A7" s="4" t="s">
        <v>15</v>
      </c>
      <c r="B7" s="5" t="n">
        <v>1500</v>
      </c>
      <c r="C7" s="4" t="s">
        <v>12</v>
      </c>
      <c r="D7" s="4" t="s">
        <v>9</v>
      </c>
      <c r="E7" s="4" t="s">
        <v>14</v>
      </c>
    </row>
    <row r="9" customFormat="false" ht="15" hidden="false" customHeight="false" outlineLevel="0" collapsed="false">
      <c r="A9" s="2" t="s">
        <v>16</v>
      </c>
    </row>
    <row r="10" customFormat="false" ht="15" hidden="false" customHeight="false" outlineLevel="0" collapsed="false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22</v>
      </c>
    </row>
    <row r="11" customFormat="false" ht="23.85" hidden="false" customHeight="false" outlineLevel="0" collapsed="false">
      <c r="A11" s="4" t="s">
        <v>23</v>
      </c>
      <c r="B11" s="4" t="s">
        <v>24</v>
      </c>
      <c r="C11" s="4" t="s">
        <v>25</v>
      </c>
      <c r="D11" s="4" t="s">
        <v>26</v>
      </c>
      <c r="E11" s="4" t="s">
        <v>27</v>
      </c>
      <c r="F11" s="4" t="s">
        <v>28</v>
      </c>
    </row>
    <row r="12" customFormat="false" ht="15" hidden="false" customHeight="false" outlineLevel="0" collapsed="false">
      <c r="A12" s="4" t="s">
        <v>29</v>
      </c>
      <c r="B12" s="4" t="s">
        <v>30</v>
      </c>
      <c r="C12" s="4" t="s">
        <v>31</v>
      </c>
      <c r="D12" s="4" t="s">
        <v>32</v>
      </c>
      <c r="E12" s="4" t="s">
        <v>33</v>
      </c>
      <c r="F12" s="4" t="s">
        <v>34</v>
      </c>
    </row>
    <row r="13" customFormat="false" ht="15" hidden="false" customHeight="false" outlineLevel="0" collapsed="false">
      <c r="A13" s="4" t="s">
        <v>35</v>
      </c>
      <c r="B13" s="4" t="s">
        <v>36</v>
      </c>
      <c r="C13" s="4" t="s">
        <v>37</v>
      </c>
      <c r="D13" s="4" t="s">
        <v>38</v>
      </c>
      <c r="E13" s="4" t="s">
        <v>39</v>
      </c>
      <c r="F13" s="4" t="s">
        <v>40</v>
      </c>
    </row>
    <row r="14" customFormat="false" ht="23.85" hidden="false" customHeight="false" outlineLevel="0" collapsed="false">
      <c r="A14" s="4" t="s">
        <v>41</v>
      </c>
      <c r="B14" s="4" t="s">
        <v>42</v>
      </c>
      <c r="C14" s="4" t="s">
        <v>43</v>
      </c>
      <c r="D14" s="4" t="s">
        <v>44</v>
      </c>
      <c r="E14" s="4" t="s">
        <v>45</v>
      </c>
      <c r="F14" s="4" t="s">
        <v>46</v>
      </c>
    </row>
    <row r="15" customFormat="false" ht="15" hidden="false" customHeight="false" outlineLevel="0" collapsed="false">
      <c r="A15" s="4" t="s">
        <v>47</v>
      </c>
      <c r="B15" s="4" t="s">
        <v>48</v>
      </c>
      <c r="C15" s="4" t="s">
        <v>49</v>
      </c>
      <c r="D15" s="4" t="s">
        <v>50</v>
      </c>
      <c r="E15" s="4" t="s">
        <v>51</v>
      </c>
      <c r="F15" s="4" t="s">
        <v>52</v>
      </c>
    </row>
    <row r="16" customFormat="false" ht="15" hidden="false" customHeight="false" outlineLevel="0" collapsed="false">
      <c r="A16" s="6" t="s">
        <v>53</v>
      </c>
      <c r="B16" s="6" t="s">
        <v>54</v>
      </c>
      <c r="C16" s="6" t="s">
        <v>55</v>
      </c>
      <c r="D16" s="6" t="s">
        <v>56</v>
      </c>
      <c r="E16" s="6" t="s">
        <v>57</v>
      </c>
      <c r="F16" s="6" t="s">
        <v>58</v>
      </c>
    </row>
    <row r="17" customFormat="false" ht="15" hidden="false" customHeight="false" outlineLevel="0" collapsed="false">
      <c r="A17" s="6" t="s">
        <v>59</v>
      </c>
      <c r="B17" s="6" t="s">
        <v>60</v>
      </c>
      <c r="C17" s="6" t="s">
        <v>61</v>
      </c>
      <c r="D17" s="6" t="s">
        <v>62</v>
      </c>
      <c r="E17" s="6" t="s">
        <v>63</v>
      </c>
      <c r="F17" s="6" t="s">
        <v>64</v>
      </c>
    </row>
    <row r="18" customFormat="false" ht="15" hidden="false" customHeight="false" outlineLevel="0" collapsed="false">
      <c r="A18" s="6" t="s">
        <v>65</v>
      </c>
      <c r="B18" s="6" t="s">
        <v>66</v>
      </c>
      <c r="C18" s="6" t="s">
        <v>67</v>
      </c>
      <c r="D18" s="6" t="s">
        <v>68</v>
      </c>
      <c r="E18" s="6" t="s">
        <v>69</v>
      </c>
      <c r="F18" s="6" t="s">
        <v>70</v>
      </c>
    </row>
    <row r="19" customFormat="false" ht="15" hidden="false" customHeight="false" outlineLevel="0" collapsed="false">
      <c r="A19" s="6" t="s">
        <v>71</v>
      </c>
      <c r="B19" s="6" t="s">
        <v>72</v>
      </c>
      <c r="C19" s="6" t="s">
        <v>73</v>
      </c>
      <c r="D19" s="6" t="s">
        <v>74</v>
      </c>
      <c r="E19" s="6" t="s">
        <v>75</v>
      </c>
      <c r="F19" s="6" t="s">
        <v>76</v>
      </c>
    </row>
    <row r="21" customFormat="false" ht="15" hidden="false" customHeight="true" outlineLevel="0" collapsed="false">
      <c r="A21" s="7" t="s">
        <v>77</v>
      </c>
      <c r="B21" s="7"/>
      <c r="C21" s="7"/>
      <c r="D21" s="7"/>
      <c r="E21" s="7"/>
      <c r="F21" s="7"/>
    </row>
  </sheetData>
  <mergeCells count="2">
    <mergeCell ref="A1:F1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C5E"/>
    <pageSetUpPr fitToPage="false"/>
  </sheetPr>
  <dimension ref="A1:D1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60"/>
  </cols>
  <sheetData>
    <row r="1" customFormat="false" ht="17.35" hidden="false" customHeight="true" outlineLevel="0" collapsed="false">
      <c r="A1" s="1" t="s">
        <v>78</v>
      </c>
      <c r="B1" s="1"/>
      <c r="C1" s="1"/>
      <c r="D1" s="1"/>
    </row>
    <row r="2" customFormat="false" ht="15" hidden="false" customHeight="true" outlineLevel="0" collapsed="false">
      <c r="A2" s="8" t="s">
        <v>79</v>
      </c>
      <c r="B2" s="8"/>
      <c r="C2" s="8"/>
      <c r="D2" s="8"/>
    </row>
    <row r="4" customFormat="false" ht="15" hidden="false" customHeight="false" outlineLevel="0" collapsed="false">
      <c r="A4" s="3" t="s">
        <v>80</v>
      </c>
      <c r="B4" s="3" t="s">
        <v>81</v>
      </c>
      <c r="C4" s="3" t="s">
        <v>82</v>
      </c>
      <c r="D4" s="3" t="s">
        <v>83</v>
      </c>
    </row>
    <row r="5" customFormat="false" ht="23.85" hidden="false" customHeight="false" outlineLevel="0" collapsed="false">
      <c r="A5" s="4" t="s">
        <v>84</v>
      </c>
      <c r="B5" s="4" t="s">
        <v>85</v>
      </c>
      <c r="C5" s="4" t="s">
        <v>86</v>
      </c>
      <c r="D5" s="4" t="s">
        <v>87</v>
      </c>
    </row>
    <row r="6" customFormat="false" ht="15" hidden="false" customHeight="false" outlineLevel="0" collapsed="false">
      <c r="A6" s="4" t="s">
        <v>88</v>
      </c>
      <c r="B6" s="4" t="s">
        <v>11</v>
      </c>
      <c r="C6" s="4" t="s">
        <v>89</v>
      </c>
      <c r="D6" s="4" t="s">
        <v>90</v>
      </c>
    </row>
    <row r="7" customFormat="false" ht="23.85" hidden="false" customHeight="false" outlineLevel="0" collapsed="false">
      <c r="A7" s="4" t="s">
        <v>91</v>
      </c>
      <c r="B7" s="4" t="s">
        <v>92</v>
      </c>
      <c r="C7" s="4" t="s">
        <v>93</v>
      </c>
      <c r="D7" s="4" t="s">
        <v>94</v>
      </c>
    </row>
    <row r="8" customFormat="false" ht="15" hidden="false" customHeight="false" outlineLevel="0" collapsed="false">
      <c r="A8" s="4" t="s">
        <v>95</v>
      </c>
      <c r="B8" s="4" t="s">
        <v>96</v>
      </c>
      <c r="C8" s="4" t="s">
        <v>97</v>
      </c>
      <c r="D8" s="4" t="s">
        <v>98</v>
      </c>
    </row>
    <row r="9" customFormat="false" ht="23.85" hidden="false" customHeight="false" outlineLevel="0" collapsed="false">
      <c r="A9" s="4" t="s">
        <v>99</v>
      </c>
      <c r="B9" s="4" t="s">
        <v>100</v>
      </c>
      <c r="C9" s="4" t="s">
        <v>101</v>
      </c>
      <c r="D9" s="4" t="s">
        <v>102</v>
      </c>
    </row>
    <row r="10" customFormat="false" ht="15" hidden="false" customHeight="false" outlineLevel="0" collapsed="false">
      <c r="A10" s="4" t="s">
        <v>103</v>
      </c>
      <c r="B10" s="4" t="s">
        <v>100</v>
      </c>
      <c r="C10" s="4" t="s">
        <v>104</v>
      </c>
      <c r="D10" s="4" t="s">
        <v>105</v>
      </c>
    </row>
    <row r="11" customFormat="false" ht="23.85" hidden="false" customHeight="false" outlineLevel="0" collapsed="false">
      <c r="A11" s="6" t="s">
        <v>106</v>
      </c>
      <c r="B11" s="6" t="s">
        <v>107</v>
      </c>
      <c r="C11" s="6" t="s">
        <v>108</v>
      </c>
      <c r="D11" s="6" t="s">
        <v>109</v>
      </c>
    </row>
    <row r="12" customFormat="false" ht="23.85" hidden="false" customHeight="false" outlineLevel="0" collapsed="false">
      <c r="A12" s="6" t="s">
        <v>110</v>
      </c>
      <c r="B12" s="6" t="s">
        <v>111</v>
      </c>
      <c r="C12" s="6" t="s">
        <v>112</v>
      </c>
      <c r="D12" s="6" t="s">
        <v>113</v>
      </c>
    </row>
    <row r="13" customFormat="false" ht="23.85" hidden="false" customHeight="false" outlineLevel="0" collapsed="false">
      <c r="A13" s="6" t="s">
        <v>114</v>
      </c>
      <c r="B13" s="6" t="s">
        <v>115</v>
      </c>
      <c r="C13" s="6" t="s">
        <v>116</v>
      </c>
      <c r="D13" s="6" t="s">
        <v>117</v>
      </c>
    </row>
    <row r="14" customFormat="false" ht="15" hidden="false" customHeight="false" outlineLevel="0" collapsed="false">
      <c r="A14" s="6" t="s">
        <v>118</v>
      </c>
      <c r="B14" s="6" t="s">
        <v>119</v>
      </c>
      <c r="C14" s="6" t="s">
        <v>120</v>
      </c>
      <c r="D14" s="6" t="s">
        <v>121</v>
      </c>
    </row>
    <row r="16" customFormat="false" ht="15" hidden="false" customHeight="false" outlineLevel="0" collapsed="false">
      <c r="A16" s="9" t="s">
        <v>122</v>
      </c>
    </row>
    <row r="17" customFormat="false" ht="15" hidden="false" customHeight="false" outlineLevel="0" collapsed="false">
      <c r="A17" s="10" t="s">
        <v>123</v>
      </c>
    </row>
    <row r="18" customFormat="false" ht="15" hidden="false" customHeight="false" outlineLevel="0" collapsed="false">
      <c r="A18" s="11" t="s">
        <v>124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5C8E"/>
    <pageSetUpPr fitToPage="false"/>
  </sheetPr>
  <dimension ref="A1:N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14" min="3" style="0" width="24"/>
  </cols>
  <sheetData>
    <row r="1" customFormat="false" ht="17.35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true" outlineLevel="0" collapsed="false">
      <c r="C3" s="12" t="s">
        <v>126</v>
      </c>
      <c r="D3" s="12"/>
      <c r="E3" s="12"/>
      <c r="F3" s="12"/>
      <c r="G3" s="12" t="s">
        <v>127</v>
      </c>
      <c r="H3" s="12"/>
      <c r="I3" s="12"/>
      <c r="J3" s="12"/>
      <c r="K3" s="12" t="s">
        <v>128</v>
      </c>
      <c r="L3" s="12"/>
      <c r="M3" s="12"/>
      <c r="N3" s="12"/>
    </row>
    <row r="4" customFormat="false" ht="15" hidden="false" customHeight="false" outlineLevel="0" collapsed="false">
      <c r="A4" s="3" t="s">
        <v>17</v>
      </c>
      <c r="B4" s="3" t="s">
        <v>2</v>
      </c>
      <c r="C4" s="3" t="s">
        <v>129</v>
      </c>
      <c r="D4" s="3" t="s">
        <v>130</v>
      </c>
      <c r="E4" s="3" t="s">
        <v>131</v>
      </c>
      <c r="F4" s="3" t="s">
        <v>132</v>
      </c>
      <c r="G4" s="3" t="s">
        <v>133</v>
      </c>
      <c r="H4" s="3" t="s">
        <v>134</v>
      </c>
      <c r="I4" s="3" t="s">
        <v>135</v>
      </c>
      <c r="J4" s="3" t="s">
        <v>136</v>
      </c>
      <c r="K4" s="3" t="s">
        <v>137</v>
      </c>
      <c r="L4" s="3" t="s">
        <v>138</v>
      </c>
      <c r="M4" s="3" t="s">
        <v>139</v>
      </c>
      <c r="N4" s="3" t="s">
        <v>140</v>
      </c>
    </row>
    <row r="5" customFormat="false" ht="23.85" hidden="false" customHeight="false" outlineLevel="0" collapsed="false">
      <c r="A5" s="4" t="s">
        <v>23</v>
      </c>
      <c r="B5" s="4" t="s">
        <v>11</v>
      </c>
      <c r="C5" s="4" t="s">
        <v>141</v>
      </c>
      <c r="D5" s="4" t="s">
        <v>142</v>
      </c>
      <c r="E5" s="4" t="s">
        <v>143</v>
      </c>
      <c r="F5" s="4" t="s">
        <v>144</v>
      </c>
      <c r="G5" s="4" t="s">
        <v>145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150</v>
      </c>
      <c r="M5" s="4" t="s">
        <v>151</v>
      </c>
      <c r="N5" s="4" t="s">
        <v>152</v>
      </c>
    </row>
    <row r="6" customFormat="false" ht="23.85" hidden="false" customHeight="false" outlineLevel="0" collapsed="false">
      <c r="A6" s="4" t="s">
        <v>29</v>
      </c>
      <c r="B6" s="4" t="s">
        <v>153</v>
      </c>
      <c r="C6" s="4" t="s">
        <v>154</v>
      </c>
      <c r="D6" s="4" t="s">
        <v>155</v>
      </c>
      <c r="E6" s="4" t="s">
        <v>156</v>
      </c>
      <c r="F6" s="4" t="s">
        <v>157</v>
      </c>
      <c r="G6" s="4" t="s">
        <v>158</v>
      </c>
      <c r="H6" s="4" t="s">
        <v>147</v>
      </c>
      <c r="I6" s="4" t="s">
        <v>159</v>
      </c>
      <c r="J6" s="4" t="s">
        <v>160</v>
      </c>
      <c r="K6" s="4" t="s">
        <v>150</v>
      </c>
      <c r="L6" s="4" t="s">
        <v>161</v>
      </c>
      <c r="M6" s="4" t="s">
        <v>162</v>
      </c>
      <c r="N6" s="4" t="s">
        <v>163</v>
      </c>
    </row>
    <row r="7" customFormat="false" ht="15" hidden="false" customHeight="false" outlineLevel="0" collapsed="false">
      <c r="A7" s="4" t="s">
        <v>35</v>
      </c>
      <c r="B7" s="4" t="s">
        <v>164</v>
      </c>
      <c r="C7" s="4" t="s">
        <v>165</v>
      </c>
      <c r="D7" s="4" t="s">
        <v>166</v>
      </c>
      <c r="E7" s="4" t="s">
        <v>167</v>
      </c>
      <c r="F7" s="4" t="s">
        <v>168</v>
      </c>
      <c r="G7" s="4" t="s">
        <v>169</v>
      </c>
      <c r="H7" s="4" t="s">
        <v>170</v>
      </c>
      <c r="I7" s="4" t="s">
        <v>171</v>
      </c>
      <c r="J7" s="4" t="s">
        <v>172</v>
      </c>
      <c r="K7" s="4" t="s">
        <v>173</v>
      </c>
      <c r="L7" s="4" t="s">
        <v>149</v>
      </c>
      <c r="M7" s="4" t="s">
        <v>150</v>
      </c>
      <c r="N7" s="4" t="s">
        <v>162</v>
      </c>
    </row>
    <row r="8" customFormat="false" ht="15" hidden="false" customHeight="false" outlineLevel="0" collapsed="false">
      <c r="A8" s="4" t="s">
        <v>174</v>
      </c>
      <c r="B8" s="4" t="s">
        <v>175</v>
      </c>
      <c r="C8" s="4" t="s">
        <v>176</v>
      </c>
      <c r="D8" s="4" t="s">
        <v>177</v>
      </c>
      <c r="E8" s="4" t="s">
        <v>178</v>
      </c>
      <c r="F8" s="4" t="s">
        <v>179</v>
      </c>
      <c r="G8" s="4" t="s">
        <v>180</v>
      </c>
      <c r="H8" s="4" t="s">
        <v>181</v>
      </c>
      <c r="I8" s="4" t="s">
        <v>182</v>
      </c>
      <c r="J8" s="4" t="s">
        <v>183</v>
      </c>
      <c r="K8" s="4" t="s">
        <v>184</v>
      </c>
      <c r="L8" s="4" t="s">
        <v>185</v>
      </c>
      <c r="M8" s="4" t="s">
        <v>186</v>
      </c>
      <c r="N8" s="4" t="s">
        <v>187</v>
      </c>
    </row>
    <row r="9" customFormat="false" ht="15" hidden="false" customHeight="false" outlineLevel="0" collapsed="false">
      <c r="A9" s="6" t="s">
        <v>106</v>
      </c>
      <c r="B9" s="6" t="s">
        <v>164</v>
      </c>
      <c r="C9" s="6" t="s">
        <v>188</v>
      </c>
      <c r="D9" s="6" t="s">
        <v>189</v>
      </c>
      <c r="E9" s="6" t="s">
        <v>190</v>
      </c>
      <c r="F9" s="6" t="s">
        <v>191</v>
      </c>
      <c r="G9" s="6" t="s">
        <v>192</v>
      </c>
      <c r="H9" s="6" t="s">
        <v>160</v>
      </c>
      <c r="I9" s="6" t="s">
        <v>193</v>
      </c>
      <c r="J9" s="6" t="s">
        <v>161</v>
      </c>
      <c r="K9" s="6" t="s">
        <v>150</v>
      </c>
      <c r="L9" s="6" t="s">
        <v>162</v>
      </c>
      <c r="M9" s="6" t="s">
        <v>194</v>
      </c>
      <c r="N9" s="6" t="s">
        <v>195</v>
      </c>
    </row>
    <row r="10" customFormat="false" ht="15" hidden="false" customHeight="false" outlineLevel="0" collapsed="false">
      <c r="A10" s="6" t="s">
        <v>110</v>
      </c>
      <c r="B10" s="6" t="s">
        <v>164</v>
      </c>
      <c r="C10" s="6" t="s">
        <v>196</v>
      </c>
      <c r="D10" s="6" t="s">
        <v>197</v>
      </c>
      <c r="E10" s="6" t="s">
        <v>198</v>
      </c>
      <c r="F10" s="6" t="s">
        <v>199</v>
      </c>
      <c r="G10" s="6" t="s">
        <v>200</v>
      </c>
      <c r="H10" s="6" t="s">
        <v>201</v>
      </c>
      <c r="I10" s="6" t="s">
        <v>202</v>
      </c>
      <c r="J10" s="6" t="s">
        <v>203</v>
      </c>
      <c r="K10" s="6" t="s">
        <v>204</v>
      </c>
      <c r="L10" s="6" t="s">
        <v>150</v>
      </c>
      <c r="M10" s="6" t="s">
        <v>162</v>
      </c>
      <c r="N10" s="6" t="s">
        <v>205</v>
      </c>
    </row>
    <row r="11" customFormat="false" ht="15" hidden="false" customHeight="false" outlineLevel="0" collapsed="false">
      <c r="A11" s="6" t="s">
        <v>114</v>
      </c>
      <c r="B11" s="6" t="s">
        <v>164</v>
      </c>
      <c r="C11" s="6" t="s">
        <v>206</v>
      </c>
      <c r="D11" s="6" t="s">
        <v>207</v>
      </c>
      <c r="E11" s="6" t="s">
        <v>208</v>
      </c>
      <c r="F11" s="6" t="s">
        <v>209</v>
      </c>
      <c r="G11" s="6" t="s">
        <v>210</v>
      </c>
      <c r="H11" s="6" t="s">
        <v>211</v>
      </c>
      <c r="I11" s="6" t="s">
        <v>212</v>
      </c>
      <c r="J11" s="6" t="s">
        <v>213</v>
      </c>
      <c r="K11" s="6" t="s">
        <v>214</v>
      </c>
      <c r="L11" s="6" t="s">
        <v>150</v>
      </c>
      <c r="M11" s="6" t="s">
        <v>215</v>
      </c>
      <c r="N11" s="6" t="s">
        <v>216</v>
      </c>
    </row>
  </sheetData>
  <mergeCells count="4">
    <mergeCell ref="A1:N1"/>
    <mergeCell ref="C3:F3"/>
    <mergeCell ref="G3:J3"/>
    <mergeCell ref="K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8348"/>
    <pageSetUpPr fitToPage="false"/>
  </sheetPr>
  <dimension ref="A1:K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6" min="5" style="0" width="15"/>
    <col collapsed="false" customWidth="true" hidden="false" outlineLevel="0" max="7" min="7" style="0" width="12"/>
    <col collapsed="false" customWidth="true" hidden="false" outlineLevel="0" max="11" min="8" style="0" width="18"/>
  </cols>
  <sheetData>
    <row r="1" customFormat="false" ht="17.35" hidden="false" customHeight="true" outlineLevel="0" collapsed="false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8" t="s">
        <v>218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customFormat="false" ht="15" hidden="false" customHeight="false" outlineLevel="0" collapsed="false">
      <c r="A4" s="3" t="s">
        <v>17</v>
      </c>
      <c r="B4" s="3" t="s">
        <v>2</v>
      </c>
      <c r="C4" s="3" t="s">
        <v>18</v>
      </c>
      <c r="D4" s="3" t="s">
        <v>219</v>
      </c>
      <c r="E4" s="3" t="s">
        <v>4</v>
      </c>
      <c r="F4" s="3" t="s">
        <v>220</v>
      </c>
      <c r="G4" s="3" t="s">
        <v>221</v>
      </c>
      <c r="H4" s="3" t="s">
        <v>126</v>
      </c>
      <c r="I4" s="3" t="s">
        <v>127</v>
      </c>
      <c r="J4" s="3" t="s">
        <v>128</v>
      </c>
      <c r="K4" s="3" t="s">
        <v>222</v>
      </c>
    </row>
    <row r="5" customFormat="false" ht="15" hidden="false" customHeight="false" outlineLevel="0" collapsed="false">
      <c r="A5" s="4" t="s">
        <v>23</v>
      </c>
      <c r="B5" s="4" t="s">
        <v>11</v>
      </c>
      <c r="C5" s="13" t="n">
        <v>6000</v>
      </c>
      <c r="D5" s="13" t="n">
        <v>900</v>
      </c>
      <c r="E5" s="14" t="s">
        <v>12</v>
      </c>
      <c r="F5" s="13" t="n">
        <v>225</v>
      </c>
      <c r="G5" s="13" t="n">
        <v>150</v>
      </c>
      <c r="H5" s="15" t="n">
        <v>0</v>
      </c>
      <c r="I5" s="15" t="n">
        <v>3400</v>
      </c>
      <c r="J5" s="15" t="n">
        <v>16900</v>
      </c>
      <c r="K5" s="15" t="n">
        <v>33750</v>
      </c>
    </row>
    <row r="6" customFormat="false" ht="15" hidden="false" customHeight="false" outlineLevel="0" collapsed="false">
      <c r="A6" s="4" t="s">
        <v>29</v>
      </c>
      <c r="B6" s="4" t="s">
        <v>153</v>
      </c>
      <c r="C6" s="13" t="n">
        <v>3000</v>
      </c>
      <c r="D6" s="13" t="n">
        <v>300</v>
      </c>
      <c r="E6" s="14" t="s">
        <v>223</v>
      </c>
      <c r="F6" s="13" t="n">
        <v>60</v>
      </c>
      <c r="G6" s="13" t="n">
        <v>200</v>
      </c>
      <c r="H6" s="15" t="n">
        <v>0</v>
      </c>
      <c r="I6" s="15" t="n">
        <v>1200</v>
      </c>
      <c r="J6" s="15" t="n">
        <v>4800</v>
      </c>
      <c r="K6" s="15" t="n">
        <v>12000</v>
      </c>
    </row>
    <row r="7" customFormat="false" ht="15" hidden="false" customHeight="false" outlineLevel="0" collapsed="false">
      <c r="A7" s="4" t="s">
        <v>35</v>
      </c>
      <c r="B7" s="4" t="s">
        <v>164</v>
      </c>
      <c r="C7" s="13" t="n">
        <v>7000</v>
      </c>
      <c r="D7" s="13" t="n">
        <v>350</v>
      </c>
      <c r="E7" s="14" t="s">
        <v>12</v>
      </c>
      <c r="F7" s="13" t="n">
        <v>88</v>
      </c>
      <c r="G7" s="13" t="n">
        <v>250</v>
      </c>
      <c r="H7" s="15" t="n">
        <v>0</v>
      </c>
      <c r="I7" s="15" t="n">
        <v>0</v>
      </c>
      <c r="J7" s="15" t="n">
        <v>4400</v>
      </c>
      <c r="K7" s="15" t="n">
        <v>17600</v>
      </c>
    </row>
    <row r="8" customFormat="false" ht="15" hidden="false" customHeight="false" outlineLevel="0" collapsed="false">
      <c r="A8" s="4" t="s">
        <v>174</v>
      </c>
      <c r="B8" s="4" t="s">
        <v>175</v>
      </c>
      <c r="C8" s="13" t="n">
        <v>400</v>
      </c>
      <c r="D8" s="13" t="n">
        <v>20</v>
      </c>
      <c r="E8" s="14" t="s">
        <v>12</v>
      </c>
      <c r="F8" s="13" t="n">
        <v>5</v>
      </c>
      <c r="G8" s="13" t="n">
        <v>250</v>
      </c>
      <c r="H8" s="15" t="n">
        <v>0</v>
      </c>
      <c r="I8" s="15" t="n">
        <v>0</v>
      </c>
      <c r="J8" s="15" t="n">
        <v>625</v>
      </c>
      <c r="K8" s="15" t="n">
        <v>1250</v>
      </c>
    </row>
    <row r="9" customFormat="false" ht="15" hidden="false" customHeight="false" outlineLevel="0" collapsed="false">
      <c r="A9" s="4" t="s">
        <v>47</v>
      </c>
      <c r="B9" s="4" t="s">
        <v>11</v>
      </c>
      <c r="C9" s="13" t="n">
        <v>2000</v>
      </c>
      <c r="D9" s="13" t="n">
        <v>200</v>
      </c>
      <c r="E9" s="14" t="s">
        <v>12</v>
      </c>
      <c r="F9" s="13" t="n">
        <v>50</v>
      </c>
      <c r="G9" s="13" t="n">
        <v>150</v>
      </c>
      <c r="H9" s="15" t="n">
        <v>0</v>
      </c>
      <c r="I9" s="15" t="n">
        <v>0</v>
      </c>
      <c r="J9" s="15" t="n">
        <v>2250</v>
      </c>
      <c r="K9" s="15" t="n">
        <v>7500</v>
      </c>
    </row>
    <row r="10" customFormat="false" ht="15" hidden="false" customHeight="false" outlineLevel="0" collapsed="false">
      <c r="A10" s="6" t="s">
        <v>53</v>
      </c>
      <c r="B10" s="6" t="s">
        <v>11</v>
      </c>
      <c r="C10" s="16" t="n">
        <v>10000</v>
      </c>
      <c r="D10" s="16" t="n">
        <v>1000</v>
      </c>
      <c r="E10" s="17" t="s">
        <v>12</v>
      </c>
      <c r="F10" s="16" t="n">
        <v>250</v>
      </c>
      <c r="G10" s="16" t="n">
        <v>150</v>
      </c>
      <c r="H10" s="18" t="n">
        <v>5000</v>
      </c>
      <c r="I10" s="18" t="n">
        <v>7500</v>
      </c>
      <c r="J10" s="18" t="n">
        <v>11250</v>
      </c>
      <c r="K10" s="18" t="n">
        <v>15000</v>
      </c>
    </row>
    <row r="11" customFormat="false" ht="15" hidden="false" customHeight="false" outlineLevel="0" collapsed="false">
      <c r="A11" s="6" t="s">
        <v>224</v>
      </c>
      <c r="B11" s="6" t="s">
        <v>164</v>
      </c>
      <c r="C11" s="16" t="n">
        <v>4000</v>
      </c>
      <c r="D11" s="16" t="n">
        <v>200</v>
      </c>
      <c r="E11" s="17" t="s">
        <v>12</v>
      </c>
      <c r="F11" s="16" t="n">
        <v>50</v>
      </c>
      <c r="G11" s="16" t="n">
        <v>150</v>
      </c>
      <c r="H11" s="18" t="n">
        <v>0</v>
      </c>
      <c r="I11" s="18" t="n">
        <v>0</v>
      </c>
      <c r="J11" s="18" t="n">
        <v>2250</v>
      </c>
      <c r="K11" s="18" t="n">
        <v>7500</v>
      </c>
    </row>
    <row r="12" customFormat="false" ht="15" hidden="false" customHeight="false" outlineLevel="0" collapsed="false">
      <c r="A12" s="6" t="s">
        <v>65</v>
      </c>
      <c r="B12" s="6" t="s">
        <v>11</v>
      </c>
      <c r="C12" s="16" t="n">
        <v>20000</v>
      </c>
      <c r="D12" s="16" t="n">
        <v>600</v>
      </c>
      <c r="E12" s="17" t="s">
        <v>12</v>
      </c>
      <c r="F12" s="16" t="n">
        <v>150</v>
      </c>
      <c r="G12" s="16" t="n">
        <v>150</v>
      </c>
      <c r="H12" s="18" t="n">
        <v>0</v>
      </c>
      <c r="I12" s="18" t="n">
        <v>1500</v>
      </c>
      <c r="J12" s="18" t="n">
        <v>4500</v>
      </c>
      <c r="K12" s="18" t="n">
        <v>7500</v>
      </c>
    </row>
    <row r="13" customFormat="false" ht="15" hidden="false" customHeight="false" outlineLevel="0" collapsed="false">
      <c r="A13" s="19" t="s">
        <v>225</v>
      </c>
      <c r="B13" s="20"/>
      <c r="C13" s="20"/>
      <c r="D13" s="20"/>
      <c r="E13" s="20"/>
      <c r="F13" s="20"/>
      <c r="G13" s="20"/>
      <c r="H13" s="21" t="n">
        <f aca="false">SUM(H5:H12)</f>
        <v>5000</v>
      </c>
      <c r="I13" s="21" t="n">
        <f aca="false">SUM(I5:I12)</f>
        <v>13600</v>
      </c>
      <c r="J13" s="21" t="n">
        <f aca="false">SUM(J5:J12)</f>
        <v>46975</v>
      </c>
      <c r="K13" s="21" t="n">
        <f aca="false">SUM(K5:K12)</f>
        <v>102100</v>
      </c>
    </row>
    <row r="14" customFormat="false" ht="15" hidden="false" customHeight="false" outlineLevel="0" collapsed="false">
      <c r="A14" s="22" t="s">
        <v>226</v>
      </c>
      <c r="H14" s="23" t="n">
        <v>100000</v>
      </c>
      <c r="I14" s="23" t="n">
        <v>100000</v>
      </c>
      <c r="J14" s="23" t="n">
        <v>100000</v>
      </c>
      <c r="K14" s="23" t="n">
        <v>100000</v>
      </c>
    </row>
    <row r="15" customFormat="false" ht="15" hidden="false" customHeight="false" outlineLevel="0" collapsed="false">
      <c r="A15" s="24" t="s">
        <v>227</v>
      </c>
      <c r="H15" s="25" t="n">
        <f aca="false">H14-H13</f>
        <v>95000</v>
      </c>
      <c r="I15" s="25" t="n">
        <f aca="false">I14-I13</f>
        <v>86400</v>
      </c>
      <c r="J15" s="25" t="n">
        <f aca="false">J14-J13</f>
        <v>53025</v>
      </c>
      <c r="K15" s="25" t="n">
        <f aca="false">K14-K13</f>
        <v>-2100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5C8E"/>
    <pageSetUpPr fitToPage="false"/>
  </sheetPr>
  <dimension ref="A1:K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6" min="5" style="0" width="15"/>
    <col collapsed="false" customWidth="true" hidden="false" outlineLevel="0" max="7" min="7" style="0" width="12"/>
    <col collapsed="false" customWidth="true" hidden="false" outlineLevel="0" max="11" min="8" style="0" width="18"/>
  </cols>
  <sheetData>
    <row r="1" customFormat="false" ht="17.35" hidden="false" customHeight="true" outlineLevel="0" collapsed="false">
      <c r="A1" s="1" t="s">
        <v>228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8" t="s">
        <v>229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customFormat="false" ht="15" hidden="false" customHeight="false" outlineLevel="0" collapsed="false">
      <c r="A4" s="3" t="s">
        <v>17</v>
      </c>
      <c r="B4" s="3" t="s">
        <v>2</v>
      </c>
      <c r="C4" s="3" t="s">
        <v>18</v>
      </c>
      <c r="D4" s="3" t="s">
        <v>219</v>
      </c>
      <c r="E4" s="3" t="s">
        <v>4</v>
      </c>
      <c r="F4" s="3" t="s">
        <v>220</v>
      </c>
      <c r="G4" s="3" t="s">
        <v>221</v>
      </c>
      <c r="H4" s="3" t="s">
        <v>126</v>
      </c>
      <c r="I4" s="3" t="s">
        <v>127</v>
      </c>
      <c r="J4" s="3" t="s">
        <v>128</v>
      </c>
      <c r="K4" s="3" t="s">
        <v>222</v>
      </c>
    </row>
    <row r="5" customFormat="false" ht="15" hidden="false" customHeight="false" outlineLevel="0" collapsed="false">
      <c r="A5" s="4" t="s">
        <v>23</v>
      </c>
      <c r="B5" s="4" t="s">
        <v>11</v>
      </c>
      <c r="C5" s="13" t="n">
        <v>6000</v>
      </c>
      <c r="D5" s="13" t="n">
        <v>1800</v>
      </c>
      <c r="E5" s="14" t="s">
        <v>12</v>
      </c>
      <c r="F5" s="13" t="n">
        <v>450</v>
      </c>
      <c r="G5" s="13" t="n">
        <v>150</v>
      </c>
      <c r="H5" s="15" t="n">
        <v>0</v>
      </c>
      <c r="I5" s="15" t="n">
        <v>5000</v>
      </c>
      <c r="J5" s="15" t="n">
        <v>20000</v>
      </c>
      <c r="K5" s="15" t="n">
        <v>40000</v>
      </c>
    </row>
    <row r="6" customFormat="false" ht="15" hidden="false" customHeight="false" outlineLevel="0" collapsed="false">
      <c r="A6" s="4" t="s">
        <v>29</v>
      </c>
      <c r="B6" s="4" t="s">
        <v>153</v>
      </c>
      <c r="C6" s="13" t="n">
        <v>3000</v>
      </c>
      <c r="D6" s="13" t="n">
        <v>600</v>
      </c>
      <c r="E6" s="14" t="s">
        <v>223</v>
      </c>
      <c r="F6" s="13" t="n">
        <v>120</v>
      </c>
      <c r="G6" s="13" t="n">
        <v>200</v>
      </c>
      <c r="H6" s="15" t="n">
        <v>0</v>
      </c>
      <c r="I6" s="15" t="n">
        <v>2400</v>
      </c>
      <c r="J6" s="15" t="n">
        <v>7200</v>
      </c>
      <c r="K6" s="15" t="n">
        <v>18000</v>
      </c>
    </row>
    <row r="7" customFormat="false" ht="15" hidden="false" customHeight="false" outlineLevel="0" collapsed="false">
      <c r="A7" s="4" t="s">
        <v>35</v>
      </c>
      <c r="B7" s="4" t="s">
        <v>164</v>
      </c>
      <c r="C7" s="13" t="n">
        <v>7000</v>
      </c>
      <c r="D7" s="13" t="n">
        <v>700</v>
      </c>
      <c r="E7" s="14" t="s">
        <v>12</v>
      </c>
      <c r="F7" s="13" t="n">
        <v>175</v>
      </c>
      <c r="G7" s="13" t="n">
        <v>300</v>
      </c>
      <c r="H7" s="15" t="n">
        <v>0</v>
      </c>
      <c r="I7" s="15" t="n">
        <v>0</v>
      </c>
      <c r="J7" s="15" t="n">
        <v>7500</v>
      </c>
      <c r="K7" s="15" t="n">
        <v>25000</v>
      </c>
    </row>
    <row r="8" customFormat="false" ht="15" hidden="false" customHeight="false" outlineLevel="0" collapsed="false">
      <c r="A8" s="4" t="s">
        <v>230</v>
      </c>
      <c r="B8" s="4" t="s">
        <v>175</v>
      </c>
      <c r="C8" s="13" t="n">
        <v>900</v>
      </c>
      <c r="D8" s="13" t="n">
        <v>50</v>
      </c>
      <c r="E8" s="14" t="s">
        <v>12</v>
      </c>
      <c r="F8" s="13" t="n">
        <v>13</v>
      </c>
      <c r="G8" s="13" t="n">
        <v>250</v>
      </c>
      <c r="H8" s="15" t="n">
        <v>0</v>
      </c>
      <c r="I8" s="15" t="n">
        <v>0</v>
      </c>
      <c r="J8" s="15" t="n">
        <v>1500</v>
      </c>
      <c r="K8" s="15" t="n">
        <v>3000</v>
      </c>
    </row>
    <row r="9" customFormat="false" ht="15" hidden="false" customHeight="false" outlineLevel="0" collapsed="false">
      <c r="A9" s="4" t="s">
        <v>47</v>
      </c>
      <c r="B9" s="4" t="s">
        <v>11</v>
      </c>
      <c r="C9" s="13" t="n">
        <v>2000</v>
      </c>
      <c r="D9" s="13" t="n">
        <v>400</v>
      </c>
      <c r="E9" s="14" t="s">
        <v>12</v>
      </c>
      <c r="F9" s="13" t="n">
        <v>100</v>
      </c>
      <c r="G9" s="13" t="n">
        <v>150</v>
      </c>
      <c r="H9" s="15" t="n">
        <v>0</v>
      </c>
      <c r="I9" s="15" t="n">
        <v>0</v>
      </c>
      <c r="J9" s="15" t="n">
        <v>3000</v>
      </c>
      <c r="K9" s="15" t="n">
        <v>10000</v>
      </c>
    </row>
    <row r="10" customFormat="false" ht="15" hidden="false" customHeight="false" outlineLevel="0" collapsed="false">
      <c r="A10" s="6" t="s">
        <v>53</v>
      </c>
      <c r="B10" s="6" t="s">
        <v>11</v>
      </c>
      <c r="C10" s="16" t="n">
        <v>10000</v>
      </c>
      <c r="D10" s="16" t="n">
        <v>1500</v>
      </c>
      <c r="E10" s="17" t="s">
        <v>12</v>
      </c>
      <c r="F10" s="16" t="n">
        <v>375</v>
      </c>
      <c r="G10" s="16" t="n">
        <v>150</v>
      </c>
      <c r="H10" s="18" t="n">
        <v>6000</v>
      </c>
      <c r="I10" s="18" t="n">
        <v>9000</v>
      </c>
      <c r="J10" s="18" t="n">
        <v>14000</v>
      </c>
      <c r="K10" s="18" t="n">
        <v>18000</v>
      </c>
    </row>
    <row r="11" customFormat="false" ht="15" hidden="false" customHeight="false" outlineLevel="0" collapsed="false">
      <c r="A11" s="6" t="s">
        <v>224</v>
      </c>
      <c r="B11" s="6" t="s">
        <v>164</v>
      </c>
      <c r="C11" s="16" t="n">
        <v>4000</v>
      </c>
      <c r="D11" s="16" t="n">
        <v>400</v>
      </c>
      <c r="E11" s="17" t="s">
        <v>12</v>
      </c>
      <c r="F11" s="16" t="n">
        <v>100</v>
      </c>
      <c r="G11" s="16" t="n">
        <v>175</v>
      </c>
      <c r="H11" s="18" t="n">
        <v>0</v>
      </c>
      <c r="I11" s="18" t="n">
        <v>0</v>
      </c>
      <c r="J11" s="18" t="n">
        <v>3500</v>
      </c>
      <c r="K11" s="18" t="n">
        <v>10000</v>
      </c>
    </row>
    <row r="12" customFormat="false" ht="15" hidden="false" customHeight="false" outlineLevel="0" collapsed="false">
      <c r="A12" s="6" t="s">
        <v>65</v>
      </c>
      <c r="B12" s="6" t="s">
        <v>11</v>
      </c>
      <c r="C12" s="16" t="n">
        <v>20000</v>
      </c>
      <c r="D12" s="16" t="n">
        <v>1000</v>
      </c>
      <c r="E12" s="17" t="s">
        <v>12</v>
      </c>
      <c r="F12" s="16" t="n">
        <v>250</v>
      </c>
      <c r="G12" s="16" t="n">
        <v>150</v>
      </c>
      <c r="H12" s="18" t="n">
        <v>0</v>
      </c>
      <c r="I12" s="18" t="n">
        <v>2000</v>
      </c>
      <c r="J12" s="18" t="n">
        <v>6000</v>
      </c>
      <c r="K12" s="18" t="n">
        <v>12000</v>
      </c>
    </row>
    <row r="13" customFormat="false" ht="15" hidden="false" customHeight="false" outlineLevel="0" collapsed="false">
      <c r="A13" s="6" t="s">
        <v>71</v>
      </c>
      <c r="B13" s="6" t="s">
        <v>164</v>
      </c>
      <c r="C13" s="16" t="n">
        <v>50000</v>
      </c>
      <c r="D13" s="16" t="n">
        <v>500</v>
      </c>
      <c r="E13" s="17" t="s">
        <v>223</v>
      </c>
      <c r="F13" s="16" t="n">
        <v>100</v>
      </c>
      <c r="G13" s="16" t="n">
        <v>175</v>
      </c>
      <c r="H13" s="18" t="n">
        <v>0</v>
      </c>
      <c r="I13" s="18" t="n">
        <v>0</v>
      </c>
      <c r="J13" s="18" t="n">
        <v>0</v>
      </c>
      <c r="K13" s="18" t="n">
        <v>5000</v>
      </c>
    </row>
    <row r="14" customFormat="false" ht="15" hidden="false" customHeight="false" outlineLevel="0" collapsed="false">
      <c r="A14" s="19" t="s">
        <v>225</v>
      </c>
      <c r="B14" s="20"/>
      <c r="C14" s="20"/>
      <c r="D14" s="20"/>
      <c r="E14" s="20"/>
      <c r="F14" s="20"/>
      <c r="G14" s="20"/>
      <c r="H14" s="21" t="n">
        <f aca="false">SUM(H5:H13)</f>
        <v>6000</v>
      </c>
      <c r="I14" s="21" t="n">
        <f aca="false">SUM(I5:I13)</f>
        <v>18400</v>
      </c>
      <c r="J14" s="21" t="n">
        <f aca="false">SUM(J5:J13)</f>
        <v>62700</v>
      </c>
      <c r="K14" s="21" t="n">
        <f aca="false">SUM(K5:K13)</f>
        <v>141000</v>
      </c>
    </row>
    <row r="15" customFormat="false" ht="15" hidden="false" customHeight="false" outlineLevel="0" collapsed="false">
      <c r="A15" s="22" t="s">
        <v>226</v>
      </c>
      <c r="H15" s="23" t="n">
        <v>100000</v>
      </c>
      <c r="I15" s="23" t="n">
        <v>100000</v>
      </c>
      <c r="J15" s="23" t="n">
        <v>100000</v>
      </c>
      <c r="K15" s="23" t="n">
        <v>100000</v>
      </c>
    </row>
    <row r="16" customFormat="false" ht="15" hidden="false" customHeight="false" outlineLevel="0" collapsed="false">
      <c r="A16" s="26" t="s">
        <v>231</v>
      </c>
      <c r="H16" s="27" t="n">
        <f aca="false">H14-H15</f>
        <v>-94000</v>
      </c>
      <c r="I16" s="27" t="n">
        <f aca="false">I14-I15</f>
        <v>-81600</v>
      </c>
      <c r="J16" s="27" t="n">
        <f aca="false">J14-J15</f>
        <v>-37300</v>
      </c>
      <c r="K16" s="27" t="n">
        <f aca="false">K14-K15</f>
        <v>41000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E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5" min="2" style="0" width="20"/>
  </cols>
  <sheetData>
    <row r="1" customFormat="false" ht="17.35" hidden="false" customHeight="true" outlineLevel="0" collapsed="false">
      <c r="A1" s="1" t="s">
        <v>232</v>
      </c>
      <c r="B1" s="1"/>
      <c r="C1" s="1"/>
      <c r="D1" s="1"/>
      <c r="E1" s="1"/>
    </row>
    <row r="3" customFormat="false" ht="15" hidden="false" customHeight="false" outlineLevel="0" collapsed="false">
      <c r="A3" s="3"/>
      <c r="B3" s="3" t="s">
        <v>126</v>
      </c>
      <c r="C3" s="3" t="s">
        <v>127</v>
      </c>
      <c r="D3" s="3" t="s">
        <v>128</v>
      </c>
      <c r="E3" s="3" t="s">
        <v>222</v>
      </c>
    </row>
    <row r="4" customFormat="false" ht="15" hidden="false" customHeight="false" outlineLevel="0" collapsed="false">
      <c r="A4" s="24" t="s">
        <v>233</v>
      </c>
      <c r="B4" s="28" t="n">
        <v>5000</v>
      </c>
      <c r="C4" s="28" t="n">
        <v>13600</v>
      </c>
      <c r="D4" s="28" t="n">
        <v>46975</v>
      </c>
      <c r="E4" s="28" t="n">
        <v>102100</v>
      </c>
    </row>
    <row r="5" customFormat="false" ht="15" hidden="false" customHeight="false" outlineLevel="0" collapsed="false">
      <c r="A5" s="24" t="s">
        <v>234</v>
      </c>
      <c r="B5" s="28" t="n">
        <v>6000</v>
      </c>
      <c r="C5" s="28" t="n">
        <v>18400</v>
      </c>
      <c r="D5" s="28" t="n">
        <v>62700</v>
      </c>
      <c r="E5" s="28" t="n">
        <v>141000</v>
      </c>
    </row>
    <row r="6" customFormat="false" ht="15" hidden="false" customHeight="false" outlineLevel="0" collapsed="false">
      <c r="A6" s="22" t="s">
        <v>226</v>
      </c>
      <c r="B6" s="29" t="n">
        <v>100000</v>
      </c>
      <c r="C6" s="29" t="n">
        <v>100000</v>
      </c>
      <c r="D6" s="29" t="n">
        <v>100000</v>
      </c>
      <c r="E6" s="29" t="n">
        <v>100000</v>
      </c>
    </row>
    <row r="8" customFormat="false" ht="15" hidden="false" customHeight="false" outlineLevel="0" collapsed="false">
      <c r="A8" s="2" t="s">
        <v>235</v>
      </c>
    </row>
    <row r="9" customFormat="false" ht="15" hidden="false" customHeight="true" outlineLevel="0" collapsed="false">
      <c r="A9" s="30" t="s">
        <v>236</v>
      </c>
      <c r="B9" s="30"/>
      <c r="C9" s="30"/>
      <c r="D9" s="30"/>
      <c r="E9" s="30"/>
    </row>
    <row r="10" customFormat="false" ht="15" hidden="false" customHeight="true" outlineLevel="0" collapsed="false">
      <c r="A10" s="30" t="s">
        <v>237</v>
      </c>
      <c r="B10" s="30"/>
      <c r="C10" s="30"/>
      <c r="D10" s="30"/>
      <c r="E10" s="30"/>
    </row>
    <row r="11" customFormat="false" ht="15" hidden="false" customHeight="true" outlineLevel="0" collapsed="false">
      <c r="A11" s="30" t="s">
        <v>238</v>
      </c>
      <c r="B11" s="30"/>
      <c r="C11" s="30"/>
      <c r="D11" s="30"/>
      <c r="E11" s="30"/>
    </row>
    <row r="12" customFormat="false" ht="15" hidden="false" customHeight="true" outlineLevel="0" collapsed="false">
      <c r="A12" s="30" t="s">
        <v>239</v>
      </c>
      <c r="B12" s="30"/>
      <c r="C12" s="30"/>
      <c r="D12" s="30"/>
      <c r="E12" s="30"/>
    </row>
    <row r="13" customFormat="false" ht="15" hidden="false" customHeight="true" outlineLevel="0" collapsed="false">
      <c r="A13" s="30" t="s">
        <v>240</v>
      </c>
      <c r="B13" s="30"/>
      <c r="C13" s="30"/>
      <c r="D13" s="30"/>
      <c r="E13" s="30"/>
    </row>
    <row r="14" customFormat="false" ht="15" hidden="false" customHeight="true" outlineLevel="0" collapsed="false">
      <c r="A14" s="30" t="s">
        <v>241</v>
      </c>
      <c r="B14" s="30"/>
      <c r="C14" s="30"/>
      <c r="D14" s="30"/>
      <c r="E14" s="30"/>
    </row>
  </sheetData>
  <mergeCells count="7">
    <mergeCell ref="A1:E1"/>
    <mergeCell ref="A9:E9"/>
    <mergeCell ref="A10:E10"/>
    <mergeCell ref="A11:E11"/>
    <mergeCell ref="A12:E12"/>
    <mergeCell ref="A13:E13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2026-07-18T17:07:42Z</dcterms:created>
  <dc:creator>openpyxl</dc:creator>
  <dc:description/>
  <dc:language>en-US</dc:language>
  <cp:lastModifiedBy/>
  <dcterms:modified xsi:type="dcterms:W3CDTF">2026-07-18T17:07:42Z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