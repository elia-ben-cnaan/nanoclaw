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Partner Selection" sheetId="2" state="visible" r:id="rId4"/>
    <sheet name="Weekly Activity (Wk 1-12)" sheetId="3" state="visible" r:id="rId5"/>
    <sheet name="Conservative (100K)" sheetId="4" state="visible" r:id="rId6"/>
    <sheet name="Upside (140K+)" sheetId="5" state="visible" r:id="rId7"/>
    <sheet name="Scenario Comparison" sheetId="6" state="visible" r:id="rId8"/>
    <sheet name="Global Platforms (Futur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<sst xmlns="http://schemas.openxmlformats.org/spreadsheetml/2006/main" count="326" uniqueCount="234">
  <si>
    <t xml:space="preserve">MODEL INPUTS — All Assumptions Centralized</t>
  </si>
  <si>
    <t xml:space="preserve">Product Data (from PayMe assignment)</t>
  </si>
  <si>
    <t xml:space="preserve">Product</t>
  </si>
  <si>
    <t xml:space="preserve">ARPU (ILS)</t>
  </si>
  <si>
    <t xml:space="preserve">Activation Rate</t>
  </si>
  <si>
    <t xml:space="preserve">Sales Cycle (weeks)</t>
  </si>
  <si>
    <t xml:space="preserve">Payments</t>
  </si>
  <si>
    <t xml:space="preserve">Accounting</t>
  </si>
  <si>
    <t xml:space="preserve">Marketing (Promoter)</t>
  </si>
  <si>
    <t xml:space="preserve">Partner Assumptions</t>
  </si>
  <si>
    <t xml:space="preserve">#</t>
  </si>
  <si>
    <t xml:space="preserve">Partner</t>
  </si>
  <si>
    <t xml:space="preserve">Type</t>
  </si>
  <si>
    <t xml:space="preserve">Ecosystem</t>
  </si>
  <si>
    <t xml:space="preserve">Exposure % (Cons.)</t>
  </si>
  <si>
    <t xml:space="preserve">Exposure % (Upside)</t>
  </si>
  <si>
    <t xml:space="preserve">Activation %</t>
  </si>
  <si>
    <t xml:space="preserve">Blended ARPU</t>
  </si>
  <si>
    <t xml:space="preserve">Source</t>
  </si>
  <si>
    <t xml:space="preserve">10bis</t>
  </si>
  <si>
    <t xml:space="preserve">Outbound</t>
  </si>
  <si>
    <t xml:space="preserve">Calcalist 2025; Wolt PoC</t>
  </si>
  <si>
    <t xml:space="preserve">Plannie</t>
  </si>
  <si>
    <t xml:space="preserve">Market research; no payments = fit</t>
  </si>
  <si>
    <t xml:space="preserve">Arbox</t>
  </si>
  <si>
    <t xml:space="preserve">Arbox website; Capterra</t>
  </si>
  <si>
    <t xml:space="preserve">Assuta Pilot</t>
  </si>
  <si>
    <t xml:space="preserve">Assuta website</t>
  </si>
  <si>
    <t xml:space="preserve">Yango Deli</t>
  </si>
  <si>
    <t xml:space="preserve">Yandex subsidiary research</t>
  </si>
  <si>
    <t xml:space="preserve">Wolt expand (existing)</t>
  </si>
  <si>
    <t xml:space="preserve">Inbound</t>
  </si>
  <si>
    <t xml:space="preserve">PayMe case study; Wikipedia</t>
  </si>
  <si>
    <t xml:space="preserve">Wolt Merchants</t>
  </si>
  <si>
    <t xml:space="preserve">Wolt: 70K merchants global</t>
  </si>
  <si>
    <t xml:space="preserve">Wix Upsell</t>
  </si>
  <si>
    <t xml:space="preserve">Wix: millions global; IL ~20K</t>
  </si>
  <si>
    <t xml:space="preserve">Isracard/Cal</t>
  </si>
  <si>
    <t xml:space="preserve">Major IL issuer</t>
  </si>
  <si>
    <t xml:space="preserve">Monthly Ramp Schedule (% of M4 exposed base onboarded)</t>
  </si>
  <si>
    <t xml:space="preserve">M1 Ramp</t>
  </si>
  <si>
    <t xml:space="preserve">M2 Ramp</t>
  </si>
  <si>
    <t xml:space="preserve">M3 Ramp</t>
  </si>
  <si>
    <t xml:space="preserve">M4 Ramp</t>
  </si>
  <si>
    <t xml:space="preserve">M1 Ramp (Up)</t>
  </si>
  <si>
    <t xml:space="preserve">M2 Ramp (Up)</t>
  </si>
  <si>
    <t xml:space="preserve">M3 Ramp (Up)</t>
  </si>
  <si>
    <t xml:space="preserve">M4 Ramp (Up)</t>
  </si>
  <si>
    <t xml:space="preserve">TABLE: Partner Selection</t>
  </si>
  <si>
    <t xml:space="preserve">Relevant Products</t>
  </si>
  <si>
    <t xml:space="preserve">Est. Sellers / Businesses</t>
  </si>
  <si>
    <t xml:space="preserve">Why Selected</t>
  </si>
  <si>
    <t xml:space="preserve">10bis (Outbound)</t>
  </si>
  <si>
    <t xml:space="preserve">Accounting (primary), Payments (secondary)</t>
  </si>
  <si>
    <t xml:space="preserve">~5,000-8,000 freelance couriers</t>
  </si>
  <si>
    <t xml:space="preserve">Switched to 100% freelancers in 2025. Currently uses Keycost (99 ILS/mo). Wolt PoC proven. Quick Win.</t>
  </si>
  <si>
    <t xml:space="preserve">Yango Deli (Outbound)</t>
  </si>
  <si>
    <t xml:space="preserve">~1,000-3,000 couriers</t>
  </si>
  <si>
    <t xml:space="preserve">Yandex subsidiary. Same Wolt model. Growing in Gush Dan.</t>
  </si>
  <si>
    <t xml:space="preserve">Arbox (Outbound)</t>
  </si>
  <si>
    <t xml:space="preserve">Accounting + Promoter (add-on)</t>
  </si>
  <si>
    <t xml:space="preserve">5,000-10,000 businesses</t>
  </si>
  <si>
    <t xml:space="preserve">#1 Israeli management platform for fitness/beauty/clinics. Has payments, missing bookkeeping. Huge volume.</t>
  </si>
  <si>
    <t xml:space="preserve">Plannie (Outbound)</t>
  </si>
  <si>
    <t xml:space="preserve">Payments + Accounting</t>
  </si>
  <si>
    <t xml:space="preserve">~2,000-5,000 businesses</t>
  </si>
  <si>
    <t xml:space="preserve">Israeli scheduling platform. Weak on payments. PayMe = natural fit. Short sales cycle.</t>
  </si>
  <si>
    <t xml:space="preserve">Assuta (Outbound)</t>
  </si>
  <si>
    <t xml:space="preserve">Accounting + Payments</t>
  </si>
  <si>
    <t xml:space="preserve">~300-500 independent physicians</t>
  </si>
  <si>
    <t xml:space="preserve">Largest private hospital network. One deal = hundreds of doctors. Major credibility.</t>
  </si>
  <si>
    <t xml:space="preserve">Herzliya Medical Center (Outbound)</t>
  </si>
  <si>
    <t xml:space="preserve">~500 specialist physicians</t>
  </si>
  <si>
    <t xml:space="preserve">Premium private hospital. Quality signal for all other segments.</t>
  </si>
  <si>
    <t xml:space="preserve">Wolt Merchants (Inbound)</t>
  </si>
  <si>
    <t xml:space="preserve">Accounting + Promoter</t>
  </si>
  <si>
    <t xml:space="preserve">~3,000-5,000 merchant partners</t>
  </si>
  <si>
    <t xml:space="preserve">Already serves couriers. Merchants get zero financial services. Upsell on existing relationship.</t>
  </si>
  <si>
    <t xml:space="preserve">Wix Upsell (Inbound)</t>
  </si>
  <si>
    <t xml:space="preserve">~10,000-30,000 IL merchants</t>
  </si>
  <si>
    <t xml:space="preserve">Already on PayMe Payments. Wix Payments unavailable in Israel. Missing local invoicing.</t>
  </si>
  <si>
    <t xml:space="preserve">Isracard/Cal (Inbound)</t>
  </si>
  <si>
    <t xml:space="preserve">Accounting + Promoter (bundle)</t>
  </si>
  <si>
    <t xml:space="preserve">~50,000+ SMBs</t>
  </si>
  <si>
    <t xml:space="preserve">Already distributes PayMe Payments as White Label. Bundle differentiates from competitors.</t>
  </si>
  <si>
    <t xml:space="preserve">Zester (Inbound)</t>
  </si>
  <si>
    <t xml:space="preserve">~500-1,000 restaurants</t>
  </si>
  <si>
    <t xml:space="preserve">Already uses PayMe for B2B supplier payments. Adding Accounting = complete suite.</t>
  </si>
  <si>
    <t xml:space="preserve">TABLE: Weekly Activity &amp; Partner Progress (Weeks 1-12)</t>
  </si>
  <si>
    <t xml:space="preserve">Month 1</t>
  </si>
  <si>
    <t xml:space="preserve">Month 2</t>
  </si>
  <si>
    <t xml:space="preserve">Month 3</t>
  </si>
  <si>
    <t xml:space="preserve">Week 1</t>
  </si>
  <si>
    <t xml:space="preserve">Week 2</t>
  </si>
  <si>
    <t xml:space="preserve">Week 3</t>
  </si>
  <si>
    <t xml:space="preserve">Week 4</t>
  </si>
  <si>
    <t xml:space="preserve">Week 5</t>
  </si>
  <si>
    <t xml:space="preserve">Week 6</t>
  </si>
  <si>
    <t xml:space="preserve">Week 7</t>
  </si>
  <si>
    <t xml:space="preserve">Week 8</t>
  </si>
  <si>
    <t xml:space="preserve">Week 9</t>
  </si>
  <si>
    <t xml:space="preserve">Week 10</t>
  </si>
  <si>
    <t xml:space="preserve">Week 11</t>
  </si>
  <si>
    <t xml:space="preserve">Week 12</t>
  </si>
  <si>
    <t xml:space="preserve">Research decision makers</t>
  </si>
  <si>
    <t xml:space="preserve">Outreach (LinkedIn+email)</t>
  </si>
  <si>
    <t xml:space="preserve">Meeting: Wolt case study</t>
  </si>
  <si>
    <t xml:space="preserve">Follow-up + proposal</t>
  </si>
  <si>
    <t xml:space="preserve">Negotiate terms</t>
  </si>
  <si>
    <t xml:space="preserve">Sign partnership</t>
  </si>
  <si>
    <t xml:space="preserve">Integration kickoff</t>
  </si>
  <si>
    <t xml:space="preserve">Pilot: 100 couriers</t>
  </si>
  <si>
    <t xml:space="preserve">Expand to 500</t>
  </si>
  <si>
    <t xml:space="preserve">Full rollout</t>
  </si>
  <si>
    <t xml:space="preserve">Optimize activation</t>
  </si>
  <si>
    <t xml:space="preserve">Measure MRR; scale</t>
  </si>
  <si>
    <t xml:space="preserve">Payments+Accounting</t>
  </si>
  <si>
    <t xml:space="preserve">Research product gaps</t>
  </si>
  <si>
    <t xml:space="preserve">Initial outreach</t>
  </si>
  <si>
    <t xml:space="preserve">Meeting: P+A bundle</t>
  </si>
  <si>
    <t xml:space="preserve">Proposal + demo</t>
  </si>
  <si>
    <t xml:space="preserve">Sign</t>
  </si>
  <si>
    <t xml:space="preserve">Integration</t>
  </si>
  <si>
    <t xml:space="preserve">Soft launch: 50 businesses</t>
  </si>
  <si>
    <t xml:space="preserve">Expand to 200</t>
  </si>
  <si>
    <t xml:space="preserve">Optimize onboarding</t>
  </si>
  <si>
    <t xml:space="preserve">Add Promoter upsell</t>
  </si>
  <si>
    <t xml:space="preserve">Measure; scale</t>
  </si>
  <si>
    <t xml:space="preserve">Accounting+Promoter</t>
  </si>
  <si>
    <t xml:space="preserve">Deep-dive Arbox ecosystem</t>
  </si>
  <si>
    <t xml:space="preserve">ID decision makers</t>
  </si>
  <si>
    <t xml:space="preserve">Outreach + one-pager</t>
  </si>
  <si>
    <t xml:space="preserve">Meeting: Accounting add-on</t>
  </si>
  <si>
    <t xml:space="preserve">Technical feasibility</t>
  </si>
  <si>
    <t xml:space="preserve">Sign LOI</t>
  </si>
  <si>
    <t xml:space="preserve">Integration dev</t>
  </si>
  <si>
    <t xml:space="preserve">Beta: 100 businesses</t>
  </si>
  <si>
    <t xml:space="preserve">Add Promoter</t>
  </si>
  <si>
    <t xml:space="preserve">Accounting+Payments</t>
  </si>
  <si>
    <t xml:space="preserve">Map physician groups</t>
  </si>
  <si>
    <t xml:space="preserve">Outreach to 2-3 groups</t>
  </si>
  <si>
    <t xml:space="preserve">Meeting: first group</t>
  </si>
  <si>
    <t xml:space="preserve">Pilot proposal</t>
  </si>
  <si>
    <t xml:space="preserve">Sign pilot</t>
  </si>
  <si>
    <t xml:space="preserve">Onboard 10-20 doctors</t>
  </si>
  <si>
    <t xml:space="preserve">Measure results</t>
  </si>
  <si>
    <t xml:space="preserve">Present to management</t>
  </si>
  <si>
    <t xml:space="preserve">Expand: 2nd group</t>
  </si>
  <si>
    <t xml:space="preserve">3rd group</t>
  </si>
  <si>
    <t xml:space="preserve">Approach HMC w/ case study</t>
  </si>
  <si>
    <t xml:space="preserve">Ongoing expansion</t>
  </si>
  <si>
    <t xml:space="preserve">Analyze merchant data</t>
  </si>
  <si>
    <t xml:space="preserve">Internal mtg: Wolt ops</t>
  </si>
  <si>
    <t xml:space="preserve">Propose Accounting</t>
  </si>
  <si>
    <t xml:space="preserve">Align rollout plan</t>
  </si>
  <si>
    <t xml:space="preserve">Pilot: 50 restaurants</t>
  </si>
  <si>
    <t xml:space="preserve">Measure activation</t>
  </si>
  <si>
    <t xml:space="preserve">Scale Promoter</t>
  </si>
  <si>
    <t xml:space="preserve">Measure combined MRR</t>
  </si>
  <si>
    <t xml:space="preserve">Analyze IL merchant base</t>
  </si>
  <si>
    <t xml:space="preserve">Internal mtg: Wix fintech</t>
  </si>
  <si>
    <t xml:space="preserve">Propose Accounting bundle</t>
  </si>
  <si>
    <t xml:space="preserve">Define scope</t>
  </si>
  <si>
    <t xml:space="preserve">Technical planning</t>
  </si>
  <si>
    <t xml:space="preserve">Dev kickoff</t>
  </si>
  <si>
    <t xml:space="preserve">Beta: 100 merchants</t>
  </si>
  <si>
    <t xml:space="preserve">Expand beta</t>
  </si>
  <si>
    <t xml:space="preserve">Soft launch</t>
  </si>
  <si>
    <t xml:space="preserve">Scale + optimize</t>
  </si>
  <si>
    <t xml:space="preserve">Map merchant base</t>
  </si>
  <si>
    <t xml:space="preserve">Internal meeting</t>
  </si>
  <si>
    <t xml:space="preserve">Present A+P bundle</t>
  </si>
  <si>
    <t xml:space="preserve">Build business case</t>
  </si>
  <si>
    <t xml:space="preserve">Negotiate</t>
  </si>
  <si>
    <t xml:space="preserve">Sign expansion</t>
  </si>
  <si>
    <t xml:space="preserve">Integration planning</t>
  </si>
  <si>
    <t xml:space="preserve">Beta launch</t>
  </si>
  <si>
    <t xml:space="preserve">Expand</t>
  </si>
  <si>
    <t xml:space="preserve">Promoter launch</t>
  </si>
  <si>
    <t xml:space="preserve">Scale</t>
  </si>
  <si>
    <t xml:space="preserve">TABLE: Monthly Revenue Forecast — Conservative (Floor)</t>
  </si>
  <si>
    <t xml:space="preserve">All MRR cells = Inputs!Ecosystem x Exposure x Ramp x Activation x ARPU. Change any input and the model recalculates.</t>
  </si>
  <si>
    <t xml:space="preserve">Exposed (M4)</t>
  </si>
  <si>
    <t xml:space="preserve">Activation</t>
  </si>
  <si>
    <t xml:space="preserve">Active (M4)</t>
  </si>
  <si>
    <t xml:space="preserve">ARPU</t>
  </si>
  <si>
    <t xml:space="preserve">Month 4</t>
  </si>
  <si>
    <t xml:space="preserve">TOTAL MRR</t>
  </si>
  <si>
    <t xml:space="preserve">TARGET</t>
  </si>
  <si>
    <t xml:space="preserve">GAP TO TARGET</t>
  </si>
  <si>
    <t xml:space="preserve">TABLE: Monthly Revenue Forecast — Upside (Ceiling)</t>
  </si>
  <si>
    <t xml:space="preserve">Same formula structure as Conservative. Uses Upside exposure + Upside ramp from Inputs sheet.</t>
  </si>
  <si>
    <t xml:space="preserve">SURPLUS ABOVE TARGET</t>
  </si>
  <si>
    <t xml:space="preserve">Scenario Comparison</t>
  </si>
  <si>
    <t xml:space="preserve">Conservative</t>
  </si>
  <si>
    <t xml:space="preserve">Upside</t>
  </si>
  <si>
    <t xml:space="preserve">What changes between scenarios:</t>
  </si>
  <si>
    <t xml:space="preserve">1. Exposure: Conservative 15% of ecosystem, Upside 30% — depends on partner rollout speed</t>
  </si>
  <si>
    <t xml:space="preserve">2. Deal closure: Conservative 60% assumption, Upside 80%</t>
  </si>
  <si>
    <t xml:space="preserve">3. Promoter: Conservative = minimal, Upside = active in Arbox (higher blended ARPU)</t>
  </si>
  <si>
    <t xml:space="preserve">4. Isracard/Cal: Conservative = not ready by M4, Upside = joins with 5,000 ILS MRR</t>
  </si>
  <si>
    <t xml:space="preserve">5. Assuta: Conservative = 1 physician group (20 doctors), Upside = 2 groups + HMC (50 doctors)</t>
  </si>
  <si>
    <t xml:space="preserve">6. Inbound base: Conservative = Wolt expand + Wix only. Upside adds Isracard + Wolt Merchants at scale</t>
  </si>
  <si>
    <t xml:space="preserve">Global Platform Ecosystem — Documented Opportunity, NOT in Committed Forecast</t>
  </si>
  <si>
    <t xml:space="preserve">IMPORTANT: Figures below are GLOBAL user/site counts, not Israel-specific. Israeli subset is unknown and unvalidated. This segment is excluded from the Conservative (102,100) and Upside (141,000) MRR totals until validated.</t>
  </si>
  <si>
    <t xml:space="preserve">Why this segment matters</t>
  </si>
  <si>
    <t xml:space="preserve">Elementor is an Israeli company (Ramat Gan, CEO Yoni Luksenberg) with a global product used by millions of Israeli and international site owners. Like Wix, it has no native Israeli invoicing layer for its Israeli merchant base. Same logic as the validated Wix opportunity, at larger scale but unconfirmed local penetration.</t>
  </si>
  <si>
    <t xml:space="preserve">Platform</t>
  </si>
  <si>
    <t xml:space="preserve">Global Scale</t>
  </si>
  <si>
    <t xml:space="preserve">Native Payments?</t>
  </si>
  <si>
    <t xml:space="preserve">Relevant PayMe Product</t>
  </si>
  <si>
    <t xml:space="preserve">Readiness Tier</t>
  </si>
  <si>
    <t xml:space="preserve">Elementor</t>
  </si>
  <si>
    <t xml:space="preserve">21M+ websites since 2016 (13% of the web); 2-3M on paid Elementor Pro; $75.9M annual revenue; 365 employees</t>
  </si>
  <si>
    <t xml:space="preserve">No. Relies entirely on 3rd-party plugins (Stripe is official Verified Partner)</t>
  </si>
  <si>
    <t xml:space="preserve">Accounting (Israeli invoicing for IL merchants) — NOT competing with Stripe on global payments</t>
  </si>
  <si>
    <t xml:space="preserve">Colorlib Elementor Statistics 2026; RocketReach</t>
  </si>
  <si>
    <t xml:space="preserve">Problem, Low Awareness</t>
  </si>
  <si>
    <t xml:space="preserve">BuddyBoss</t>
  </si>
  <si>
    <t xml:space="preserve">50,000+ customers worldwide; 27,000 active Platform/Theme installs; clients include Stanford, MIT, Yale</t>
  </si>
  <si>
    <t xml:space="preserve">No. Relies on WooCommerce + Stripe/PayPal integrations</t>
  </si>
  <si>
    <t xml:space="preserve">Accounting for Israeli course/community creators</t>
  </si>
  <si>
    <t xml:space="preserve">BuddyBoss.com; Awesome Motive acquisition press release (2025); Cybernews</t>
  </si>
  <si>
    <t xml:space="preserve">LearnDash</t>
  </si>
  <si>
    <t xml:space="preserve">~55,600 live sites currently (162,600+ historically); one support agency alone serves 6,000+ customers</t>
  </si>
  <si>
    <t xml:space="preserve">No. Relies on Stripe Connect, PayPal, Razorpay</t>
  </si>
  <si>
    <t xml:space="preserve">Accounting for Israeli course creators</t>
  </si>
  <si>
    <t xml:space="preserve">BuiltWith Trends; WooNinjas LearnDash Support report</t>
  </si>
  <si>
    <t xml:space="preserve">Recommended framing: NOT 'Ready to Partner' — global platforms need Education &amp; Enablement before Outbound (per Partner Prioritization Framework). Do not add to MRR forecast until Israeli user-base size is confirmed via direct research (e.g., LinkedIn Sales Navigator filtering by country, or direct outreach to gauge interest).</t>
  </si>
  <si>
    <t xml:space="preserve">Next step to validate before including in forecast:</t>
  </si>
  <si>
    <t xml:space="preserve">1. Estimate Israeli user base: search LinkedIn / BuiltWith filtered by Israel domains using Elementor/LearnDash/BuddyBoss</t>
  </si>
  <si>
    <t xml:space="preserve">2. Confirm the pain: survey or interview 5-10 Israeli users of each platform about their current invoicing/payments setup</t>
  </si>
  <si>
    <t xml:space="preserve">3. Identify decision maker: for Elementor specifically (Israeli company), map BD/Partnerships contact</t>
  </si>
  <si>
    <t xml:space="preserve">4. Only then: assign exposure %, activation rate, and ARPU assumptions consistent with the Inputs sheet methodology</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</si>
</sst>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000%"/>
    <numFmt numFmtId="169" formatCode="0%"/>
  </numFmts>
  <fonts count="16">
    <font>
      <sz val="11"/>
      <color theme="1"/>
      <name val="Calibri"/>
      <family val="2"/>
      <charset val="1"/>
    </font>
    <font>
      <sz val="10"/>
      <name val="Arial"/>
      <family val="0"/>
    </font>
    <font>
      <sz val="10"/>
      <name val="Arial"/>
      <family val="0"/>
    </font>
    <font>
      <sz val="10"/>
      <name val="Arial"/>
      <family val="0"/>
    </font>
    <font>
      <b val="true"/>
      <sz val="13"/>
      <color rgb="FF1A3C5E"/>
      <name val="Calibri"/>
      <family val="0"/>
      <charset val="1"/>
    </font>
    <font>
      <b val="true"/>
      <sz val="11"/>
      <color rgb="FF2A5C8E"/>
      <name val="Calibri"/>
      <family val="0"/>
      <charset val="1"/>
    </font>
    <font>
      <b val="true"/>
      <sz val="10"/>
      <color rgb="FFFFFFFF"/>
      <name val="Calibri"/>
      <family val="0"/>
      <charset val="1"/>
    </font>
    <font>
      <b val="true"/>
      <sz val="10"/>
      <name val="Calibri"/>
      <family val="0"/>
      <charset val="1"/>
    </font>
    <font>
      <sz val="10"/>
      <color rgb="FF0000CC"/>
      <name val="Calibri"/>
      <family val="0"/>
      <charset val="1"/>
    </font>
    <font>
      <sz val="10"/>
      <name val="Calibri"/>
      <family val="0"/>
      <charset val="1"/>
    </font>
    <font>
      <i val="true"/>
      <sz val="9"/>
      <color rgb="FF666666"/>
      <name val="Calibri"/>
      <family val="0"/>
      <charset val="1"/>
    </font>
    <font>
      <b val="true"/>
      <sz val="11"/>
      <name val="Calibri"/>
      <family val="0"/>
      <charset val="1"/>
    </font>
    <font>
      <b val="true"/>
      <sz val="11"/>
      <color rgb="FFFF0000"/>
      <name val="Calibri"/>
      <family val="0"/>
      <charset val="1"/>
    </font>
    <font>
      <b val="true"/>
      <sz val="10"/>
      <color rgb="FF1D8348"/>
      <name val="Calibri"/>
      <family val="0"/>
      <charset val="1"/>
    </font>
    <font>
      <b val="true"/>
      <i val="true"/>
      <sz val="9"/>
      <color rgb="FFCC0000"/>
      <name val="Calibri"/>
      <family val="0"/>
      <charset val="1"/>
    </font>
    <font>
      <i val="true"/>
      <sz val="10"/>
      <name val="Calibri"/>
      <family val="0"/>
      <charset val="1"/>
    </font>
  </fonts>
  <fills count="6">
    <fill>
      <patternFill patternType="none"/>
    </fill>
    <fill>
      <patternFill patternType="gray125"/>
    </fill>
    <fill>
      <patternFill patternType="solid">
        <fgColor rgb="FF1A3C5E"/>
        <bgColor rgb="FF333333"/>
      </patternFill>
    </fill>
    <fill>
      <patternFill patternType="solid">
        <fgColor rgb="FFFFF2CC"/>
        <bgColor rgb="FFFFFFFF"/>
      </patternFill>
    </fill>
    <fill>
      <patternFill patternType="solid">
        <fgColor rgb="FFC6EFCE"/>
        <bgColor rgb="FFD6E4F0"/>
      </patternFill>
    </fill>
    <fill>
      <patternFill patternType="solid">
        <fgColor rgb="FFD6E4F0"/>
        <bgColor rgb="FFC6EFCE"/>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7"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9" fontId="9"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9" fontId="9"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2A5C8E"/>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1A3C5E"/>
      <rgbColor rgb="FF1D8348"/>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J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4" min="3" style="1" width="12"/>
    <col collapsed="false" customWidth="true" hidden="false" outlineLevel="0" max="6" min="5" style="1" width="14"/>
    <col collapsed="false" customWidth="true" hidden="false" outlineLevel="0" max="7" min="7" style="1" width="12"/>
    <col collapsed="false" customWidth="true" hidden="false" outlineLevel="0" max="8" min="8" style="1" width="14"/>
    <col collapsed="false" customWidth="true" hidden="false" outlineLevel="0" max="9" min="9" style="1" width="36"/>
    <col collapsed="false" customWidth="true" hidden="false" outlineLevel="0" max="10" min="10" style="1" width="14"/>
  </cols>
  <sheetData>
    <row r="1" customFormat="false" ht="15.75" hidden="false" customHeight="true" outlineLevel="0" collapsed="false">
      <c r="A1" s="2" t="s">
        <v>0</v>
      </c>
      <c r="B1" s="2"/>
      <c r="C1" s="2"/>
      <c r="D1" s="2"/>
      <c r="E1" s="2"/>
      <c r="F1" s="2"/>
      <c r="G1" s="2"/>
      <c r="H1" s="2"/>
    </row>
    <row r="3" customFormat="false" ht="15" hidden="false" customHeight="true" outlineLevel="0" collapsed="false">
      <c r="A3" s="3" t="s">
        <v>1</v>
      </c>
    </row>
    <row r="4" customFormat="false" ht="23.25" hidden="false" customHeight="true" outlineLevel="0" collapsed="false">
      <c r="A4" s="4" t="s">
        <v>2</v>
      </c>
      <c r="B4" s="4" t="s">
        <v>3</v>
      </c>
      <c r="C4" s="4" t="s">
        <v>4</v>
      </c>
      <c r="D4" s="4" t="s">
        <v>5</v>
      </c>
    </row>
    <row r="5" customFormat="false" ht="34.5" hidden="false" customHeight="true" outlineLevel="0" collapsed="false">
      <c r="A5" s="5" t="s">
        <v>6</v>
      </c>
      <c r="B5" s="6" t="n">
        <v>100</v>
      </c>
      <c r="C5" s="7" t="n">
        <v>0.15</v>
      </c>
      <c r="D5" s="6" t="n">
        <v>4</v>
      </c>
    </row>
    <row r="6" customFormat="false" ht="34.5" hidden="false" customHeight="true" outlineLevel="0" collapsed="false">
      <c r="A6" s="5" t="s">
        <v>7</v>
      </c>
      <c r="B6" s="6" t="n">
        <v>150</v>
      </c>
      <c r="C6" s="7" t="n">
        <v>0.25</v>
      </c>
      <c r="D6" s="6" t="n">
        <v>2</v>
      </c>
    </row>
    <row r="7" customFormat="false" ht="68.25" hidden="false" customHeight="true" outlineLevel="0" collapsed="false">
      <c r="A7" s="5" t="s">
        <v>8</v>
      </c>
      <c r="B7" s="6" t="n">
        <v>1500</v>
      </c>
      <c r="C7" s="7" t="n">
        <v>0.25</v>
      </c>
      <c r="D7" s="6" t="n">
        <v>4</v>
      </c>
    </row>
    <row r="9" customFormat="false" ht="15" hidden="false" customHeight="true" outlineLevel="0" collapsed="false">
      <c r="A9" s="3" t="s">
        <v>9</v>
      </c>
    </row>
    <row r="10" customFormat="false" ht="23.25" hidden="false" customHeight="true" outlineLevel="0" collapsed="false">
      <c r="A10" s="4" t="s">
        <v>10</v>
      </c>
      <c r="B10" s="4" t="s">
        <v>11</v>
      </c>
      <c r="C10" s="4" t="s">
        <v>12</v>
      </c>
      <c r="D10" s="4" t="s">
        <v>13</v>
      </c>
      <c r="E10" s="4" t="s">
        <v>14</v>
      </c>
      <c r="F10" s="4" t="s">
        <v>15</v>
      </c>
      <c r="G10" s="4" t="s">
        <v>16</v>
      </c>
      <c r="H10" s="4" t="s">
        <v>17</v>
      </c>
      <c r="I10" s="4" t="s">
        <v>18</v>
      </c>
    </row>
    <row r="11" customFormat="false" ht="15" hidden="false" customHeight="true" outlineLevel="0" collapsed="false">
      <c r="A11" s="8" t="n">
        <v>1</v>
      </c>
      <c r="B11" s="5" t="s">
        <v>19</v>
      </c>
      <c r="C11" s="9" t="s">
        <v>20</v>
      </c>
      <c r="D11" s="6" t="n">
        <v>6000</v>
      </c>
      <c r="E11" s="10" t="n">
        <v>0.15</v>
      </c>
      <c r="F11" s="10" t="n">
        <v>0.3</v>
      </c>
      <c r="G11" s="10" t="n">
        <v>0.25</v>
      </c>
      <c r="H11" s="6" t="n">
        <v>150</v>
      </c>
      <c r="I11" s="9" t="s">
        <v>21</v>
      </c>
    </row>
    <row r="12" customFormat="false" ht="15" hidden="false" customHeight="true" outlineLevel="0" collapsed="false">
      <c r="A12" s="8" t="n">
        <v>2</v>
      </c>
      <c r="B12" s="5" t="s">
        <v>22</v>
      </c>
      <c r="C12" s="9" t="s">
        <v>20</v>
      </c>
      <c r="D12" s="6" t="n">
        <v>3000</v>
      </c>
      <c r="E12" s="10" t="n">
        <v>0.1</v>
      </c>
      <c r="F12" s="10" t="n">
        <v>0.2</v>
      </c>
      <c r="G12" s="10" t="n">
        <v>0.2</v>
      </c>
      <c r="H12" s="6" t="n">
        <v>200</v>
      </c>
      <c r="I12" s="9" t="s">
        <v>23</v>
      </c>
    </row>
    <row r="13" customFormat="false" ht="15" hidden="false" customHeight="true" outlineLevel="0" collapsed="false">
      <c r="A13" s="8" t="n">
        <v>3</v>
      </c>
      <c r="B13" s="5" t="s">
        <v>24</v>
      </c>
      <c r="C13" s="9" t="s">
        <v>20</v>
      </c>
      <c r="D13" s="6" t="n">
        <v>7000</v>
      </c>
      <c r="E13" s="10" t="n">
        <v>0.05</v>
      </c>
      <c r="F13" s="10" t="n">
        <v>0.1</v>
      </c>
      <c r="G13" s="10" t="n">
        <v>0.25</v>
      </c>
      <c r="H13" s="6" t="n">
        <v>250</v>
      </c>
      <c r="I13" s="9" t="s">
        <v>25</v>
      </c>
    </row>
    <row r="14" customFormat="false" ht="15" hidden="false" customHeight="true" outlineLevel="0" collapsed="false">
      <c r="A14" s="8" t="n">
        <v>4</v>
      </c>
      <c r="B14" s="5" t="s">
        <v>26</v>
      </c>
      <c r="C14" s="9" t="s">
        <v>20</v>
      </c>
      <c r="D14" s="6" t="n">
        <v>400</v>
      </c>
      <c r="E14" s="10" t="n">
        <v>0.05</v>
      </c>
      <c r="F14" s="10" t="n">
        <v>0.125</v>
      </c>
      <c r="G14" s="10" t="n">
        <v>0.25</v>
      </c>
      <c r="H14" s="6" t="n">
        <v>250</v>
      </c>
      <c r="I14" s="9" t="s">
        <v>27</v>
      </c>
    </row>
    <row r="15" customFormat="false" ht="15" hidden="false" customHeight="true" outlineLevel="0" collapsed="false">
      <c r="A15" s="8" t="n">
        <v>5</v>
      </c>
      <c r="B15" s="5" t="s">
        <v>28</v>
      </c>
      <c r="C15" s="9" t="s">
        <v>20</v>
      </c>
      <c r="D15" s="6" t="n">
        <v>2000</v>
      </c>
      <c r="E15" s="10" t="n">
        <v>0.1</v>
      </c>
      <c r="F15" s="10" t="n">
        <v>0.2</v>
      </c>
      <c r="G15" s="10" t="n">
        <v>0.25</v>
      </c>
      <c r="H15" s="6" t="n">
        <v>150</v>
      </c>
      <c r="I15" s="9" t="s">
        <v>29</v>
      </c>
    </row>
    <row r="16" customFormat="false" ht="15" hidden="false" customHeight="true" outlineLevel="0" collapsed="false">
      <c r="A16" s="11" t="n">
        <v>6</v>
      </c>
      <c r="B16" s="12" t="s">
        <v>30</v>
      </c>
      <c r="C16" s="13" t="s">
        <v>31</v>
      </c>
      <c r="D16" s="14" t="n">
        <v>10000</v>
      </c>
      <c r="E16" s="15" t="n">
        <v>0.1</v>
      </c>
      <c r="F16" s="15" t="n">
        <v>0.15</v>
      </c>
      <c r="G16" s="15" t="n">
        <v>0.25</v>
      </c>
      <c r="H16" s="14" t="n">
        <v>150</v>
      </c>
      <c r="I16" s="13" t="s">
        <v>32</v>
      </c>
    </row>
    <row r="17" customFormat="false" ht="15" hidden="false" customHeight="true" outlineLevel="0" collapsed="false">
      <c r="A17" s="11" t="n">
        <v>7</v>
      </c>
      <c r="B17" s="12" t="s">
        <v>33</v>
      </c>
      <c r="C17" s="13" t="s">
        <v>31</v>
      </c>
      <c r="D17" s="14" t="n">
        <v>4000</v>
      </c>
      <c r="E17" s="15" t="n">
        <v>0.05</v>
      </c>
      <c r="F17" s="15" t="n">
        <v>0.1</v>
      </c>
      <c r="G17" s="15" t="n">
        <v>0.25</v>
      </c>
      <c r="H17" s="14" t="n">
        <v>150</v>
      </c>
      <c r="I17" s="13" t="s">
        <v>34</v>
      </c>
    </row>
    <row r="18" customFormat="false" ht="15" hidden="false" customHeight="true" outlineLevel="0" collapsed="false">
      <c r="A18" s="11" t="n">
        <v>8</v>
      </c>
      <c r="B18" s="12" t="s">
        <v>35</v>
      </c>
      <c r="C18" s="13" t="s">
        <v>31</v>
      </c>
      <c r="D18" s="14" t="n">
        <v>20000</v>
      </c>
      <c r="E18" s="15" t="n">
        <v>0.03</v>
      </c>
      <c r="F18" s="15" t="n">
        <v>0.05</v>
      </c>
      <c r="G18" s="15" t="n">
        <v>0.25</v>
      </c>
      <c r="H18" s="14" t="n">
        <v>150</v>
      </c>
      <c r="I18" s="13" t="s">
        <v>36</v>
      </c>
    </row>
    <row r="19" customFormat="false" ht="15" hidden="false" customHeight="true" outlineLevel="0" collapsed="false">
      <c r="A19" s="11" t="n">
        <v>9</v>
      </c>
      <c r="B19" s="12" t="s">
        <v>37</v>
      </c>
      <c r="C19" s="13" t="s">
        <v>31</v>
      </c>
      <c r="D19" s="14" t="n">
        <v>50000</v>
      </c>
      <c r="E19" s="15" t="n">
        <v>0</v>
      </c>
      <c r="F19" s="15" t="n">
        <v>0.01</v>
      </c>
      <c r="G19" s="15" t="n">
        <v>0.2</v>
      </c>
      <c r="H19" s="14" t="n">
        <v>175</v>
      </c>
      <c r="I19" s="13" t="s">
        <v>38</v>
      </c>
    </row>
    <row r="22" customFormat="false" ht="15" hidden="false" customHeight="true" outlineLevel="0" collapsed="false">
      <c r="A22" s="16" t="s">
        <v>39</v>
      </c>
      <c r="B22" s="16"/>
      <c r="C22" s="16"/>
      <c r="D22" s="16"/>
      <c r="E22" s="16"/>
      <c r="F22" s="16"/>
      <c r="G22" s="16"/>
      <c r="H22" s="16"/>
    </row>
    <row r="23" customFormat="false" ht="15" hidden="false" customHeight="true" outlineLevel="0" collapsed="false">
      <c r="A23" s="4" t="s">
        <v>10</v>
      </c>
      <c r="B23" s="4" t="s">
        <v>11</v>
      </c>
      <c r="C23" s="4" t="s">
        <v>40</v>
      </c>
      <c r="D23" s="4" t="s">
        <v>41</v>
      </c>
      <c r="E23" s="4" t="s">
        <v>42</v>
      </c>
      <c r="F23" s="4" t="s">
        <v>43</v>
      </c>
      <c r="G23" s="4" t="s">
        <v>44</v>
      </c>
      <c r="H23" s="4" t="s">
        <v>45</v>
      </c>
      <c r="I23" s="4" t="s">
        <v>46</v>
      </c>
      <c r="J23" s="4" t="s">
        <v>47</v>
      </c>
    </row>
    <row r="24" customFormat="false" ht="15" hidden="false" customHeight="true" outlineLevel="0" collapsed="false">
      <c r="A24" s="17" t="n">
        <v>1</v>
      </c>
      <c r="B24" s="18" t="s">
        <v>19</v>
      </c>
      <c r="C24" s="19" t="n">
        <v>0</v>
      </c>
      <c r="D24" s="19" t="n">
        <v>0.100741</v>
      </c>
      <c r="E24" s="19" t="n">
        <v>0.500741</v>
      </c>
      <c r="F24" s="19" t="n">
        <v>1</v>
      </c>
      <c r="G24" s="19" t="n">
        <v>0</v>
      </c>
      <c r="H24" s="19" t="n">
        <v>0.074074</v>
      </c>
      <c r="I24" s="19" t="n">
        <v>0.296296</v>
      </c>
      <c r="J24" s="19" t="n">
        <v>0.592593</v>
      </c>
    </row>
    <row r="25" customFormat="false" ht="15" hidden="false" customHeight="true" outlineLevel="0" collapsed="false">
      <c r="A25" s="17" t="n">
        <v>2</v>
      </c>
      <c r="B25" s="18" t="s">
        <v>22</v>
      </c>
      <c r="C25" s="19" t="n">
        <v>0</v>
      </c>
      <c r="D25" s="19" t="n">
        <v>0.1</v>
      </c>
      <c r="E25" s="19" t="n">
        <v>0.4</v>
      </c>
      <c r="F25" s="19" t="n">
        <v>1</v>
      </c>
      <c r="G25" s="19" t="n">
        <v>0</v>
      </c>
      <c r="H25" s="19" t="n">
        <v>0.1</v>
      </c>
      <c r="I25" s="19" t="n">
        <v>0.3</v>
      </c>
      <c r="J25" s="19" t="n">
        <v>0.75</v>
      </c>
    </row>
    <row r="26" customFormat="false" ht="15" hidden="false" customHeight="true" outlineLevel="0" collapsed="false">
      <c r="A26" s="17" t="n">
        <v>3</v>
      </c>
      <c r="B26" s="18" t="s">
        <v>24</v>
      </c>
      <c r="C26" s="19" t="n">
        <v>0</v>
      </c>
      <c r="D26" s="19" t="n">
        <v>0</v>
      </c>
      <c r="E26" s="19" t="n">
        <v>0.201143</v>
      </c>
      <c r="F26" s="19" t="n">
        <v>0.804571</v>
      </c>
      <c r="G26" s="19" t="n">
        <v>0</v>
      </c>
      <c r="H26" s="19" t="n">
        <v>0</v>
      </c>
      <c r="I26" s="19" t="n">
        <v>0.171429</v>
      </c>
      <c r="J26" s="19" t="n">
        <v>0.571429</v>
      </c>
    </row>
    <row r="27" customFormat="false" ht="15" hidden="false" customHeight="true" outlineLevel="0" collapsed="false">
      <c r="A27" s="17" t="n">
        <v>4</v>
      </c>
      <c r="B27" s="18" t="s">
        <v>26</v>
      </c>
      <c r="C27" s="19" t="n">
        <v>0</v>
      </c>
      <c r="D27" s="19" t="n">
        <v>0</v>
      </c>
      <c r="E27" s="19" t="n">
        <v>0.5</v>
      </c>
      <c r="F27" s="19" t="n">
        <v>1</v>
      </c>
      <c r="G27" s="19" t="n">
        <v>0</v>
      </c>
      <c r="H27" s="19" t="n">
        <v>0</v>
      </c>
      <c r="I27" s="19" t="n">
        <v>0.48</v>
      </c>
      <c r="J27" s="19" t="n">
        <v>0.96</v>
      </c>
    </row>
    <row r="28" customFormat="false" ht="15" hidden="false" customHeight="true" outlineLevel="0" collapsed="false">
      <c r="A28" s="17" t="n">
        <v>5</v>
      </c>
      <c r="B28" s="18" t="s">
        <v>28</v>
      </c>
      <c r="C28" s="19" t="n">
        <v>0</v>
      </c>
      <c r="D28" s="19" t="n">
        <v>0</v>
      </c>
      <c r="E28" s="19" t="n">
        <v>0.3</v>
      </c>
      <c r="F28" s="19" t="n">
        <v>1</v>
      </c>
      <c r="G28" s="19" t="n">
        <v>0</v>
      </c>
      <c r="H28" s="19" t="n">
        <v>0</v>
      </c>
      <c r="I28" s="19" t="n">
        <v>0.2</v>
      </c>
      <c r="J28" s="19" t="n">
        <v>0.666667</v>
      </c>
    </row>
    <row r="29" customFormat="false" ht="15" hidden="false" customHeight="true" outlineLevel="0" collapsed="false">
      <c r="A29" s="17" t="n">
        <v>6</v>
      </c>
      <c r="B29" s="18" t="s">
        <v>30</v>
      </c>
      <c r="C29" s="19" t="n">
        <v>0.133333</v>
      </c>
      <c r="D29" s="19" t="n">
        <v>0.2</v>
      </c>
      <c r="E29" s="19" t="n">
        <v>0.3</v>
      </c>
      <c r="F29" s="19" t="n">
        <v>0.4</v>
      </c>
      <c r="G29" s="19" t="n">
        <v>0.106667</v>
      </c>
      <c r="H29" s="19" t="n">
        <v>0.16</v>
      </c>
      <c r="I29" s="19" t="n">
        <v>0.248889</v>
      </c>
      <c r="J29" s="19" t="n">
        <v>0.32</v>
      </c>
    </row>
    <row r="30" customFormat="false" ht="15" hidden="false" customHeight="true" outlineLevel="0" collapsed="false">
      <c r="A30" s="17" t="n">
        <v>7</v>
      </c>
      <c r="B30" s="18" t="s">
        <v>33</v>
      </c>
      <c r="C30" s="19" t="n">
        <v>0</v>
      </c>
      <c r="D30" s="19" t="n">
        <v>0</v>
      </c>
      <c r="E30" s="19" t="n">
        <v>0.3</v>
      </c>
      <c r="F30" s="19" t="n">
        <v>1</v>
      </c>
      <c r="G30" s="19" t="n">
        <v>0</v>
      </c>
      <c r="H30" s="19" t="n">
        <v>0</v>
      </c>
      <c r="I30" s="19" t="n">
        <v>0.233333</v>
      </c>
      <c r="J30" s="19" t="n">
        <v>0.666667</v>
      </c>
    </row>
    <row r="31" customFormat="false" ht="15" hidden="false" customHeight="true" outlineLevel="0" collapsed="false">
      <c r="A31" s="17" t="n">
        <v>8</v>
      </c>
      <c r="B31" s="18" t="s">
        <v>35</v>
      </c>
      <c r="C31" s="19" t="n">
        <v>0</v>
      </c>
      <c r="D31" s="19" t="n">
        <v>0.066667</v>
      </c>
      <c r="E31" s="19" t="n">
        <v>0.2</v>
      </c>
      <c r="F31" s="19" t="n">
        <v>0.333333</v>
      </c>
      <c r="G31" s="19" t="n">
        <v>0</v>
      </c>
      <c r="H31" s="19" t="n">
        <v>0.053333</v>
      </c>
      <c r="I31" s="19" t="n">
        <v>0.16</v>
      </c>
      <c r="J31" s="19" t="n">
        <v>0.32</v>
      </c>
    </row>
    <row r="32" customFormat="false" ht="15" hidden="false" customHeight="true" outlineLevel="0" collapsed="false">
      <c r="A32" s="17" t="n">
        <v>9</v>
      </c>
      <c r="B32" s="18" t="s">
        <v>37</v>
      </c>
      <c r="C32" s="19" t="n">
        <v>0</v>
      </c>
      <c r="D32" s="19" t="n">
        <v>0</v>
      </c>
      <c r="E32" s="19" t="n">
        <v>0</v>
      </c>
      <c r="F32" s="19" t="n">
        <v>0</v>
      </c>
      <c r="G32" s="19" t="n">
        <v>0</v>
      </c>
      <c r="H32" s="19" t="n">
        <v>0</v>
      </c>
      <c r="I32" s="19" t="n">
        <v>0</v>
      </c>
      <c r="J32" s="19" t="n">
        <v>0.285714</v>
      </c>
    </row>
  </sheetData>
  <mergeCells count="2">
    <mergeCell ref="A1:H1"/>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C5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28"/>
    <col collapsed="false" customWidth="true" hidden="false" outlineLevel="0" max="4" min="4" style="1" width="60"/>
  </cols>
  <sheetData>
    <row r="1" customFormat="false" ht="15.75" hidden="false" customHeight="true" outlineLevel="0" collapsed="false">
      <c r="A1" s="2" t="s">
        <v>48</v>
      </c>
      <c r="B1" s="2"/>
      <c r="C1" s="2"/>
      <c r="D1" s="2"/>
    </row>
    <row r="3" customFormat="false" ht="15" hidden="false" customHeight="true" outlineLevel="0" collapsed="false">
      <c r="A3" s="4" t="s">
        <v>11</v>
      </c>
      <c r="B3" s="4" t="s">
        <v>49</v>
      </c>
      <c r="C3" s="4" t="s">
        <v>50</v>
      </c>
      <c r="D3" s="4" t="s">
        <v>51</v>
      </c>
    </row>
    <row r="4" customFormat="false" ht="23.25" hidden="false" customHeight="true" outlineLevel="0" collapsed="false">
      <c r="A4" s="20" t="s">
        <v>52</v>
      </c>
      <c r="B4" s="20" t="s">
        <v>53</v>
      </c>
      <c r="C4" s="20" t="s">
        <v>54</v>
      </c>
      <c r="D4" s="20" t="s">
        <v>55</v>
      </c>
    </row>
    <row r="5" customFormat="false" ht="15" hidden="false" customHeight="true" outlineLevel="0" collapsed="false">
      <c r="A5" s="20" t="s">
        <v>56</v>
      </c>
      <c r="B5" s="20" t="s">
        <v>7</v>
      </c>
      <c r="C5" s="20" t="s">
        <v>57</v>
      </c>
      <c r="D5" s="20" t="s">
        <v>58</v>
      </c>
    </row>
    <row r="6" customFormat="false" ht="23.25" hidden="false" customHeight="true" outlineLevel="0" collapsed="false">
      <c r="A6" s="20" t="s">
        <v>59</v>
      </c>
      <c r="B6" s="20" t="s">
        <v>60</v>
      </c>
      <c r="C6" s="20" t="s">
        <v>61</v>
      </c>
      <c r="D6" s="20" t="s">
        <v>62</v>
      </c>
    </row>
    <row r="7" customFormat="false" ht="23.25" hidden="false" customHeight="true" outlineLevel="0" collapsed="false">
      <c r="A7" s="20" t="s">
        <v>63</v>
      </c>
      <c r="B7" s="20" t="s">
        <v>64</v>
      </c>
      <c r="C7" s="20" t="s">
        <v>65</v>
      </c>
      <c r="D7" s="20" t="s">
        <v>66</v>
      </c>
    </row>
    <row r="8" customFormat="false" ht="23.25" hidden="false" customHeight="true" outlineLevel="0" collapsed="false">
      <c r="A8" s="20" t="s">
        <v>67</v>
      </c>
      <c r="B8" s="20" t="s">
        <v>68</v>
      </c>
      <c r="C8" s="20" t="s">
        <v>69</v>
      </c>
      <c r="D8" s="20" t="s">
        <v>70</v>
      </c>
    </row>
    <row r="9" customFormat="false" ht="15" hidden="false" customHeight="true" outlineLevel="0" collapsed="false">
      <c r="A9" s="20" t="s">
        <v>71</v>
      </c>
      <c r="B9" s="20" t="s">
        <v>68</v>
      </c>
      <c r="C9" s="20" t="s">
        <v>72</v>
      </c>
      <c r="D9" s="20" t="s">
        <v>73</v>
      </c>
    </row>
    <row r="10" customFormat="false" ht="23.25" hidden="false" customHeight="true" outlineLevel="0" collapsed="false">
      <c r="A10" s="21" t="s">
        <v>74</v>
      </c>
      <c r="B10" s="21" t="s">
        <v>75</v>
      </c>
      <c r="C10" s="21" t="s">
        <v>76</v>
      </c>
      <c r="D10" s="21" t="s">
        <v>77</v>
      </c>
    </row>
    <row r="11" customFormat="false" ht="23.25" hidden="false" customHeight="true" outlineLevel="0" collapsed="false">
      <c r="A11" s="21" t="s">
        <v>78</v>
      </c>
      <c r="B11" s="21" t="s">
        <v>75</v>
      </c>
      <c r="C11" s="21" t="s">
        <v>79</v>
      </c>
      <c r="D11" s="21" t="s">
        <v>80</v>
      </c>
    </row>
    <row r="12" customFormat="false" ht="23.25" hidden="false" customHeight="true" outlineLevel="0" collapsed="false">
      <c r="A12" s="21" t="s">
        <v>81</v>
      </c>
      <c r="B12" s="21" t="s">
        <v>82</v>
      </c>
      <c r="C12" s="21" t="s">
        <v>83</v>
      </c>
      <c r="D12" s="21" t="s">
        <v>84</v>
      </c>
    </row>
    <row r="13" customFormat="false" ht="23.25" hidden="false" customHeight="true" outlineLevel="0" collapsed="false">
      <c r="A13" s="21" t="s">
        <v>85</v>
      </c>
      <c r="B13" s="21" t="s">
        <v>7</v>
      </c>
      <c r="C13" s="21" t="s">
        <v>86</v>
      </c>
      <c r="D13" s="21" t="s">
        <v>87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5C8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14" min="3" style="1" width="22"/>
  </cols>
  <sheetData>
    <row r="1" customFormat="false" ht="15.75" hidden="false" customHeight="true" outlineLevel="0" collapsed="false">
      <c r="A1" s="2" t="s">
        <v>88</v>
      </c>
      <c r="B1" s="2"/>
      <c r="C1" s="2"/>
      <c r="D1" s="2"/>
      <c r="E1" s="2"/>
      <c r="F1" s="2"/>
      <c r="G1" s="2"/>
      <c r="H1" s="2"/>
      <c r="I1" s="2"/>
      <c r="J1" s="2"/>
      <c r="K1" s="2"/>
      <c r="L1" s="2"/>
      <c r="M1" s="2"/>
      <c r="N1" s="2"/>
    </row>
    <row r="3" customFormat="false" ht="15" hidden="false" customHeight="true" outlineLevel="0" collapsed="false">
      <c r="C3" s="22" t="s">
        <v>89</v>
      </c>
      <c r="D3" s="22"/>
      <c r="E3" s="22"/>
      <c r="F3" s="22"/>
      <c r="G3" s="22" t="s">
        <v>90</v>
      </c>
      <c r="H3" s="22"/>
      <c r="I3" s="22"/>
      <c r="J3" s="22"/>
      <c r="K3" s="22" t="s">
        <v>91</v>
      </c>
      <c r="L3" s="22"/>
      <c r="M3" s="22"/>
      <c r="N3" s="22"/>
    </row>
    <row r="4" customFormat="false" ht="15" hidden="false" customHeight="true" outlineLevel="0" collapsed="false">
      <c r="A4" s="4" t="s">
        <v>11</v>
      </c>
      <c r="B4" s="4" t="s">
        <v>2</v>
      </c>
      <c r="C4" s="4" t="s">
        <v>92</v>
      </c>
      <c r="D4" s="4" t="s">
        <v>93</v>
      </c>
      <c r="E4" s="4" t="s">
        <v>94</v>
      </c>
      <c r="F4" s="4" t="s">
        <v>95</v>
      </c>
      <c r="G4" s="4" t="s">
        <v>96</v>
      </c>
      <c r="H4" s="4" t="s">
        <v>97</v>
      </c>
      <c r="I4" s="4" t="s">
        <v>98</v>
      </c>
      <c r="J4" s="4" t="s">
        <v>99</v>
      </c>
      <c r="K4" s="4" t="s">
        <v>100</v>
      </c>
      <c r="L4" s="4" t="s">
        <v>101</v>
      </c>
      <c r="M4" s="4" t="s">
        <v>102</v>
      </c>
      <c r="N4" s="4" t="s">
        <v>103</v>
      </c>
    </row>
    <row r="5" customFormat="false" ht="15" hidden="false" customHeight="true" outlineLevel="0" collapsed="false">
      <c r="A5" s="20" t="s">
        <v>19</v>
      </c>
      <c r="B5" s="20" t="s">
        <v>7</v>
      </c>
      <c r="C5" s="20" t="s">
        <v>104</v>
      </c>
      <c r="D5" s="20" t="s">
        <v>105</v>
      </c>
      <c r="E5" s="20" t="s">
        <v>106</v>
      </c>
      <c r="F5" s="20" t="s">
        <v>107</v>
      </c>
      <c r="G5" s="20" t="s">
        <v>108</v>
      </c>
      <c r="H5" s="20" t="s">
        <v>109</v>
      </c>
      <c r="I5" s="20" t="s">
        <v>110</v>
      </c>
      <c r="J5" s="20" t="s">
        <v>111</v>
      </c>
      <c r="K5" s="20" t="s">
        <v>112</v>
      </c>
      <c r="L5" s="20" t="s">
        <v>113</v>
      </c>
      <c r="M5" s="20" t="s">
        <v>114</v>
      </c>
      <c r="N5" s="20" t="s">
        <v>115</v>
      </c>
    </row>
    <row r="6" customFormat="false" ht="15" hidden="false" customHeight="true" outlineLevel="0" collapsed="false">
      <c r="A6" s="20" t="s">
        <v>22</v>
      </c>
      <c r="B6" s="20" t="s">
        <v>116</v>
      </c>
      <c r="C6" s="20" t="s">
        <v>117</v>
      </c>
      <c r="D6" s="20" t="s">
        <v>118</v>
      </c>
      <c r="E6" s="20" t="s">
        <v>119</v>
      </c>
      <c r="F6" s="20" t="s">
        <v>120</v>
      </c>
      <c r="G6" s="20" t="s">
        <v>121</v>
      </c>
      <c r="H6" s="20" t="s">
        <v>122</v>
      </c>
      <c r="I6" s="20" t="s">
        <v>123</v>
      </c>
      <c r="J6" s="20" t="s">
        <v>124</v>
      </c>
      <c r="K6" s="20" t="s">
        <v>113</v>
      </c>
      <c r="L6" s="20" t="s">
        <v>125</v>
      </c>
      <c r="M6" s="20" t="s">
        <v>126</v>
      </c>
      <c r="N6" s="20" t="s">
        <v>127</v>
      </c>
    </row>
    <row r="7" customFormat="false" ht="15" hidden="false" customHeight="true" outlineLevel="0" collapsed="false">
      <c r="A7" s="20" t="s">
        <v>24</v>
      </c>
      <c r="B7" s="20" t="s">
        <v>128</v>
      </c>
      <c r="C7" s="20" t="s">
        <v>129</v>
      </c>
      <c r="D7" s="20" t="s">
        <v>130</v>
      </c>
      <c r="E7" s="20" t="s">
        <v>131</v>
      </c>
      <c r="F7" s="20" t="s">
        <v>132</v>
      </c>
      <c r="G7" s="20" t="s">
        <v>133</v>
      </c>
      <c r="H7" s="20" t="s">
        <v>108</v>
      </c>
      <c r="I7" s="20" t="s">
        <v>134</v>
      </c>
      <c r="J7" s="20" t="s">
        <v>135</v>
      </c>
      <c r="K7" s="20" t="s">
        <v>136</v>
      </c>
      <c r="L7" s="20" t="s">
        <v>112</v>
      </c>
      <c r="M7" s="20" t="s">
        <v>113</v>
      </c>
      <c r="N7" s="20" t="s">
        <v>137</v>
      </c>
    </row>
    <row r="8" customFormat="false" ht="23.25" hidden="false" customHeight="true" outlineLevel="0" collapsed="false">
      <c r="A8" s="20" t="s">
        <v>26</v>
      </c>
      <c r="B8" s="20" t="s">
        <v>138</v>
      </c>
      <c r="C8" s="20" t="s">
        <v>139</v>
      </c>
      <c r="D8" s="20" t="s">
        <v>140</v>
      </c>
      <c r="E8" s="20" t="s">
        <v>141</v>
      </c>
      <c r="F8" s="20" t="s">
        <v>142</v>
      </c>
      <c r="G8" s="20" t="s">
        <v>143</v>
      </c>
      <c r="H8" s="20" t="s">
        <v>144</v>
      </c>
      <c r="I8" s="20" t="s">
        <v>145</v>
      </c>
      <c r="J8" s="20" t="s">
        <v>146</v>
      </c>
      <c r="K8" s="20" t="s">
        <v>147</v>
      </c>
      <c r="L8" s="20" t="s">
        <v>148</v>
      </c>
      <c r="M8" s="20" t="s">
        <v>149</v>
      </c>
      <c r="N8" s="20" t="s">
        <v>150</v>
      </c>
    </row>
    <row r="9" customFormat="false" ht="15" hidden="false" customHeight="true" outlineLevel="0" collapsed="false">
      <c r="A9" s="21" t="s">
        <v>74</v>
      </c>
      <c r="B9" s="21" t="s">
        <v>128</v>
      </c>
      <c r="C9" s="21" t="s">
        <v>151</v>
      </c>
      <c r="D9" s="21" t="s">
        <v>152</v>
      </c>
      <c r="E9" s="21" t="s">
        <v>153</v>
      </c>
      <c r="F9" s="21" t="s">
        <v>154</v>
      </c>
      <c r="G9" s="21" t="s">
        <v>155</v>
      </c>
      <c r="H9" s="21" t="s">
        <v>124</v>
      </c>
      <c r="I9" s="21" t="s">
        <v>156</v>
      </c>
      <c r="J9" s="21" t="s">
        <v>125</v>
      </c>
      <c r="K9" s="21" t="s">
        <v>113</v>
      </c>
      <c r="L9" s="21" t="s">
        <v>137</v>
      </c>
      <c r="M9" s="21" t="s">
        <v>157</v>
      </c>
      <c r="N9" s="21" t="s">
        <v>158</v>
      </c>
    </row>
    <row r="10" customFormat="false" ht="15" hidden="false" customHeight="true" outlineLevel="0" collapsed="false">
      <c r="A10" s="21" t="s">
        <v>78</v>
      </c>
      <c r="B10" s="21" t="s">
        <v>128</v>
      </c>
      <c r="C10" s="21" t="s">
        <v>159</v>
      </c>
      <c r="D10" s="21" t="s">
        <v>160</v>
      </c>
      <c r="E10" s="21" t="s">
        <v>161</v>
      </c>
      <c r="F10" s="21" t="s">
        <v>162</v>
      </c>
      <c r="G10" s="21" t="s">
        <v>163</v>
      </c>
      <c r="H10" s="21" t="s">
        <v>164</v>
      </c>
      <c r="I10" s="21" t="s">
        <v>165</v>
      </c>
      <c r="J10" s="21" t="s">
        <v>166</v>
      </c>
      <c r="K10" s="21" t="s">
        <v>167</v>
      </c>
      <c r="L10" s="21" t="s">
        <v>113</v>
      </c>
      <c r="M10" s="21" t="s">
        <v>137</v>
      </c>
      <c r="N10" s="21" t="s">
        <v>168</v>
      </c>
    </row>
    <row r="11" customFormat="false" ht="15" hidden="false" customHeight="true" outlineLevel="0" collapsed="false">
      <c r="A11" s="21" t="s">
        <v>81</v>
      </c>
      <c r="B11" s="21" t="s">
        <v>128</v>
      </c>
      <c r="C11" s="21" t="s">
        <v>169</v>
      </c>
      <c r="D11" s="21" t="s">
        <v>170</v>
      </c>
      <c r="E11" s="21" t="s">
        <v>171</v>
      </c>
      <c r="F11" s="21" t="s">
        <v>172</v>
      </c>
      <c r="G11" s="21" t="s">
        <v>173</v>
      </c>
      <c r="H11" s="21" t="s">
        <v>174</v>
      </c>
      <c r="I11" s="21" t="s">
        <v>175</v>
      </c>
      <c r="J11" s="21" t="s">
        <v>176</v>
      </c>
      <c r="K11" s="21" t="s">
        <v>177</v>
      </c>
      <c r="L11" s="21" t="s">
        <v>113</v>
      </c>
      <c r="M11" s="21" t="s">
        <v>178</v>
      </c>
      <c r="N11" s="21" t="s">
        <v>179</v>
      </c>
    </row>
  </sheetData>
  <mergeCells count="4">
    <mergeCell ref="A1:N1"/>
    <mergeCell ref="C3:F3"/>
    <mergeCell ref="G3:J3"/>
    <mergeCell ref="K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8348"/>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4" min="3" style="1" width="12"/>
    <col collapsed="false" customWidth="true" hidden="false" outlineLevel="0" max="7" min="5" style="1" width="10"/>
    <col collapsed="false" customWidth="true" hidden="false" outlineLevel="0" max="11" min="8" style="1" width="14"/>
  </cols>
  <sheetData>
    <row r="1" customFormat="false" ht="15.75" hidden="false" customHeight="true" outlineLevel="0" collapsed="false">
      <c r="A1" s="2" t="s">
        <v>180</v>
      </c>
      <c r="B1" s="2"/>
      <c r="C1" s="2"/>
      <c r="D1" s="2"/>
      <c r="E1" s="2"/>
      <c r="F1" s="2"/>
      <c r="G1" s="2"/>
      <c r="H1" s="2"/>
      <c r="I1" s="2"/>
      <c r="J1" s="2"/>
      <c r="K1" s="2"/>
    </row>
    <row r="2" customFormat="false" ht="15" hidden="false" customHeight="true" outlineLevel="0" collapsed="false">
      <c r="A2" s="23" t="s">
        <v>181</v>
      </c>
      <c r="B2" s="23"/>
      <c r="C2" s="23"/>
      <c r="D2" s="23"/>
      <c r="E2" s="23"/>
      <c r="F2" s="23"/>
      <c r="G2" s="23"/>
      <c r="H2" s="23"/>
      <c r="I2" s="23"/>
      <c r="J2" s="23"/>
      <c r="K2" s="23"/>
    </row>
    <row r="4" customFormat="false" ht="15" hidden="false" customHeight="true" outlineLevel="0" collapsed="false">
      <c r="A4" s="4" t="s">
        <v>11</v>
      </c>
      <c r="B4" s="4" t="s">
        <v>2</v>
      </c>
      <c r="C4" s="4" t="s">
        <v>13</v>
      </c>
      <c r="D4" s="4" t="s">
        <v>182</v>
      </c>
      <c r="E4" s="4" t="s">
        <v>183</v>
      </c>
      <c r="F4" s="4" t="s">
        <v>184</v>
      </c>
      <c r="G4" s="4" t="s">
        <v>185</v>
      </c>
      <c r="H4" s="4" t="s">
        <v>89</v>
      </c>
      <c r="I4" s="4" t="s">
        <v>90</v>
      </c>
      <c r="J4" s="4" t="s">
        <v>91</v>
      </c>
      <c r="K4" s="4" t="s">
        <v>186</v>
      </c>
    </row>
    <row r="5" customFormat="false" ht="15" hidden="false" customHeight="true" outlineLevel="0" collapsed="false">
      <c r="A5" s="18" t="str">
        <f aca="false">Inputs!B11</f>
        <v>10bis</v>
      </c>
      <c r="B5" s="17" t="s">
        <v>7</v>
      </c>
      <c r="C5" s="8" t="n">
        <f aca="false">Inputs!D11</f>
        <v>6000</v>
      </c>
      <c r="D5" s="8" t="n">
        <f aca="false">Inputs!D11*Inputs!E11</f>
        <v>900</v>
      </c>
      <c r="E5" s="24" t="n">
        <f aca="false">Inputs!G11</f>
        <v>0.25</v>
      </c>
      <c r="F5" s="8" t="n">
        <f aca="false">D5*E5</f>
        <v>225</v>
      </c>
      <c r="G5" s="8" t="n">
        <f aca="false">Inputs!H11</f>
        <v>150</v>
      </c>
      <c r="H5" s="25" t="n">
        <f aca="false">ROUND(Inputs!D11*Inputs!E11*Inputs!C24*Inputs!G11*Inputs!H11,0)</f>
        <v>0</v>
      </c>
      <c r="I5" s="25" t="n">
        <f aca="false">ROUND(Inputs!D11*Inputs!E11*Inputs!D24*Inputs!G11*Inputs!H11,0)</f>
        <v>3400</v>
      </c>
      <c r="J5" s="25" t="n">
        <f aca="false">ROUND(Inputs!D11*Inputs!E11*Inputs!E24*Inputs!G11*Inputs!H11,0)</f>
        <v>16900</v>
      </c>
      <c r="K5" s="25" t="n">
        <f aca="false">ROUND(Inputs!D11*Inputs!E11*Inputs!F24*Inputs!G11*Inputs!H11,0)</f>
        <v>33750</v>
      </c>
    </row>
    <row r="6" customFormat="false" ht="15" hidden="false" customHeight="true" outlineLevel="0" collapsed="false">
      <c r="A6" s="18" t="str">
        <f aca="false">Inputs!B12</f>
        <v>Plannie</v>
      </c>
      <c r="B6" s="17" t="s">
        <v>116</v>
      </c>
      <c r="C6" s="8" t="n">
        <f aca="false">Inputs!D12</f>
        <v>3000</v>
      </c>
      <c r="D6" s="8" t="n">
        <f aca="false">Inputs!D12*Inputs!E12</f>
        <v>300</v>
      </c>
      <c r="E6" s="24" t="n">
        <f aca="false">Inputs!G12</f>
        <v>0.2</v>
      </c>
      <c r="F6" s="8" t="n">
        <f aca="false">D6*E6</f>
        <v>60</v>
      </c>
      <c r="G6" s="8" t="n">
        <f aca="false">Inputs!H12</f>
        <v>200</v>
      </c>
      <c r="H6" s="25" t="n">
        <f aca="false">ROUND(Inputs!D12*Inputs!E12*Inputs!C25*Inputs!G12*Inputs!H12,0)</f>
        <v>0</v>
      </c>
      <c r="I6" s="25" t="n">
        <f aca="false">ROUND(Inputs!D12*Inputs!E12*Inputs!D25*Inputs!G12*Inputs!H12,0)</f>
        <v>1200</v>
      </c>
      <c r="J6" s="25" t="n">
        <f aca="false">ROUND(Inputs!D12*Inputs!E12*Inputs!E25*Inputs!G12*Inputs!H12,0)</f>
        <v>4800</v>
      </c>
      <c r="K6" s="25" t="n">
        <f aca="false">ROUND(Inputs!D12*Inputs!E12*Inputs!F25*Inputs!G12*Inputs!H12,0)</f>
        <v>12000</v>
      </c>
    </row>
    <row r="7" customFormat="false" ht="15" hidden="false" customHeight="true" outlineLevel="0" collapsed="false">
      <c r="A7" s="18" t="str">
        <f aca="false">Inputs!B13</f>
        <v>Arbox</v>
      </c>
      <c r="B7" s="17" t="s">
        <v>128</v>
      </c>
      <c r="C7" s="8" t="n">
        <f aca="false">Inputs!D13</f>
        <v>7000</v>
      </c>
      <c r="D7" s="8" t="n">
        <f aca="false">Inputs!D13*Inputs!E13</f>
        <v>350</v>
      </c>
      <c r="E7" s="24" t="n">
        <f aca="false">Inputs!G13</f>
        <v>0.25</v>
      </c>
      <c r="F7" s="8" t="n">
        <f aca="false">D7*E7</f>
        <v>87.5</v>
      </c>
      <c r="G7" s="8" t="n">
        <f aca="false">Inputs!H13</f>
        <v>250</v>
      </c>
      <c r="H7" s="25" t="n">
        <f aca="false">ROUND(Inputs!D13*Inputs!E13*Inputs!C26*Inputs!G13*Inputs!H13,0)</f>
        <v>0</v>
      </c>
      <c r="I7" s="25" t="n">
        <f aca="false">ROUND(Inputs!D13*Inputs!E13*Inputs!D26*Inputs!G13*Inputs!H13,0)</f>
        <v>0</v>
      </c>
      <c r="J7" s="25" t="n">
        <f aca="false">ROUND(Inputs!D13*Inputs!E13*Inputs!E26*Inputs!G13*Inputs!H13,0)</f>
        <v>4400</v>
      </c>
      <c r="K7" s="25" t="n">
        <f aca="false">ROUND(Inputs!D13*Inputs!E13*Inputs!F26*Inputs!G13*Inputs!H13,0)</f>
        <v>17600</v>
      </c>
    </row>
    <row r="8" customFormat="false" ht="15" hidden="false" customHeight="true" outlineLevel="0" collapsed="false">
      <c r="A8" s="18" t="str">
        <f aca="false">Inputs!B14</f>
        <v>Assuta Pilot</v>
      </c>
      <c r="B8" s="17" t="s">
        <v>138</v>
      </c>
      <c r="C8" s="8" t="n">
        <f aca="false">Inputs!D14</f>
        <v>400</v>
      </c>
      <c r="D8" s="8" t="n">
        <f aca="false">Inputs!D14*Inputs!E14</f>
        <v>20</v>
      </c>
      <c r="E8" s="24" t="n">
        <f aca="false">Inputs!G14</f>
        <v>0.25</v>
      </c>
      <c r="F8" s="8" t="n">
        <f aca="false">D8*E8</f>
        <v>5</v>
      </c>
      <c r="G8" s="8" t="n">
        <f aca="false">Inputs!H14</f>
        <v>250</v>
      </c>
      <c r="H8" s="25" t="n">
        <f aca="false">ROUND(Inputs!D14*Inputs!E14*Inputs!C27*Inputs!G14*Inputs!H14,0)</f>
        <v>0</v>
      </c>
      <c r="I8" s="25" t="n">
        <f aca="false">ROUND(Inputs!D14*Inputs!E14*Inputs!D27*Inputs!G14*Inputs!H14,0)</f>
        <v>0</v>
      </c>
      <c r="J8" s="25" t="n">
        <f aca="false">ROUND(Inputs!D14*Inputs!E14*Inputs!E27*Inputs!G14*Inputs!H14,0)</f>
        <v>625</v>
      </c>
      <c r="K8" s="25" t="n">
        <f aca="false">ROUND(Inputs!D14*Inputs!E14*Inputs!F27*Inputs!G14*Inputs!H14,0)</f>
        <v>1250</v>
      </c>
    </row>
    <row r="9" customFormat="false" ht="15" hidden="false" customHeight="true" outlineLevel="0" collapsed="false">
      <c r="A9" s="18" t="str">
        <f aca="false">Inputs!B15</f>
        <v>Yango Deli</v>
      </c>
      <c r="B9" s="17" t="s">
        <v>7</v>
      </c>
      <c r="C9" s="8" t="n">
        <f aca="false">Inputs!D15</f>
        <v>2000</v>
      </c>
      <c r="D9" s="8" t="n">
        <f aca="false">Inputs!D15*Inputs!E15</f>
        <v>200</v>
      </c>
      <c r="E9" s="24" t="n">
        <f aca="false">Inputs!G15</f>
        <v>0.25</v>
      </c>
      <c r="F9" s="8" t="n">
        <f aca="false">D9*E9</f>
        <v>50</v>
      </c>
      <c r="G9" s="8" t="n">
        <f aca="false">Inputs!H15</f>
        <v>150</v>
      </c>
      <c r="H9" s="25" t="n">
        <f aca="false">ROUND(Inputs!D15*Inputs!E15*Inputs!C28*Inputs!G15*Inputs!H15,0)</f>
        <v>0</v>
      </c>
      <c r="I9" s="25" t="n">
        <f aca="false">ROUND(Inputs!D15*Inputs!E15*Inputs!D28*Inputs!G15*Inputs!H15,0)</f>
        <v>0</v>
      </c>
      <c r="J9" s="25" t="n">
        <f aca="false">ROUND(Inputs!D15*Inputs!E15*Inputs!E28*Inputs!G15*Inputs!H15,0)</f>
        <v>2250</v>
      </c>
      <c r="K9" s="25" t="n">
        <f aca="false">ROUND(Inputs!D15*Inputs!E15*Inputs!F28*Inputs!G15*Inputs!H15,0)</f>
        <v>7500</v>
      </c>
    </row>
    <row r="10" customFormat="false" ht="15" hidden="false" customHeight="true" outlineLevel="0" collapsed="false">
      <c r="A10" s="26" t="str">
        <f aca="false">Inputs!B16</f>
        <v>Wolt expand (existing)</v>
      </c>
      <c r="B10" s="27" t="s">
        <v>7</v>
      </c>
      <c r="C10" s="11" t="n">
        <f aca="false">Inputs!D16</f>
        <v>10000</v>
      </c>
      <c r="D10" s="11" t="n">
        <f aca="false">Inputs!D16*Inputs!E16</f>
        <v>1000</v>
      </c>
      <c r="E10" s="28" t="n">
        <f aca="false">Inputs!G16</f>
        <v>0.25</v>
      </c>
      <c r="F10" s="11" t="n">
        <f aca="false">D10*E10</f>
        <v>250</v>
      </c>
      <c r="G10" s="11" t="n">
        <f aca="false">Inputs!H16</f>
        <v>150</v>
      </c>
      <c r="H10" s="14" t="n">
        <f aca="false">ROUND(Inputs!D16*Inputs!E16*Inputs!C29*Inputs!G16*Inputs!H16,0)</f>
        <v>5000</v>
      </c>
      <c r="I10" s="14" t="n">
        <f aca="false">ROUND(Inputs!D16*Inputs!E16*Inputs!D29*Inputs!G16*Inputs!H16,0)</f>
        <v>7500</v>
      </c>
      <c r="J10" s="14" t="n">
        <f aca="false">ROUND(Inputs!D16*Inputs!E16*Inputs!E29*Inputs!G16*Inputs!H16,0)</f>
        <v>11250</v>
      </c>
      <c r="K10" s="14" t="n">
        <f aca="false">ROUND(Inputs!D16*Inputs!E16*Inputs!F29*Inputs!G16*Inputs!H16,0)</f>
        <v>15000</v>
      </c>
    </row>
    <row r="11" customFormat="false" ht="15" hidden="false" customHeight="true" outlineLevel="0" collapsed="false">
      <c r="A11" s="26" t="str">
        <f aca="false">Inputs!B17</f>
        <v>Wolt Merchants</v>
      </c>
      <c r="B11" s="27" t="s">
        <v>128</v>
      </c>
      <c r="C11" s="11" t="n">
        <f aca="false">Inputs!D17</f>
        <v>4000</v>
      </c>
      <c r="D11" s="11" t="n">
        <f aca="false">Inputs!D17*Inputs!E17</f>
        <v>200</v>
      </c>
      <c r="E11" s="28" t="n">
        <f aca="false">Inputs!G17</f>
        <v>0.25</v>
      </c>
      <c r="F11" s="11" t="n">
        <f aca="false">D11*E11</f>
        <v>50</v>
      </c>
      <c r="G11" s="11" t="n">
        <f aca="false">Inputs!H17</f>
        <v>150</v>
      </c>
      <c r="H11" s="14" t="n">
        <f aca="false">ROUND(Inputs!D17*Inputs!E17*Inputs!C30*Inputs!G17*Inputs!H17,0)</f>
        <v>0</v>
      </c>
      <c r="I11" s="14" t="n">
        <f aca="false">ROUND(Inputs!D17*Inputs!E17*Inputs!D30*Inputs!G17*Inputs!H17,0)</f>
        <v>0</v>
      </c>
      <c r="J11" s="14" t="n">
        <f aca="false">ROUND(Inputs!D17*Inputs!E17*Inputs!E30*Inputs!G17*Inputs!H17,0)</f>
        <v>2250</v>
      </c>
      <c r="K11" s="14" t="n">
        <f aca="false">ROUND(Inputs!D17*Inputs!E17*Inputs!F30*Inputs!G17*Inputs!H17,0)</f>
        <v>7500</v>
      </c>
    </row>
    <row r="12" customFormat="false" ht="15" hidden="false" customHeight="true" outlineLevel="0" collapsed="false">
      <c r="A12" s="26" t="str">
        <f aca="false">Inputs!B18</f>
        <v>Wix Upsell</v>
      </c>
      <c r="B12" s="27" t="s">
        <v>7</v>
      </c>
      <c r="C12" s="11" t="n">
        <f aca="false">Inputs!D18</f>
        <v>20000</v>
      </c>
      <c r="D12" s="11" t="n">
        <f aca="false">Inputs!D18*Inputs!E18</f>
        <v>600</v>
      </c>
      <c r="E12" s="28" t="n">
        <f aca="false">Inputs!G18</f>
        <v>0.25</v>
      </c>
      <c r="F12" s="11" t="n">
        <f aca="false">D12*E12</f>
        <v>150</v>
      </c>
      <c r="G12" s="11" t="n">
        <f aca="false">Inputs!H18</f>
        <v>150</v>
      </c>
      <c r="H12" s="14" t="n">
        <f aca="false">ROUND(Inputs!D18*Inputs!E18*Inputs!C31*Inputs!G18*Inputs!H18,0)</f>
        <v>0</v>
      </c>
      <c r="I12" s="14" t="n">
        <f aca="false">ROUND(Inputs!D18*Inputs!E18*Inputs!D31*Inputs!G18*Inputs!H18,0)</f>
        <v>1500</v>
      </c>
      <c r="J12" s="14" t="n">
        <f aca="false">ROUND(Inputs!D18*Inputs!E18*Inputs!E31*Inputs!G18*Inputs!H18,0)</f>
        <v>4500</v>
      </c>
      <c r="K12" s="14" t="n">
        <f aca="false">ROUND(Inputs!D18*Inputs!E18*Inputs!F31*Inputs!G18*Inputs!H18,0)</f>
        <v>7500</v>
      </c>
    </row>
    <row r="13" customFormat="false" ht="15" hidden="false" customHeight="true" outlineLevel="0" collapsed="false">
      <c r="A13" s="26" t="str">
        <f aca="false">Inputs!B19</f>
        <v>Isracard/Cal</v>
      </c>
      <c r="B13" s="27" t="s">
        <v>128</v>
      </c>
      <c r="C13" s="11" t="n">
        <f aca="false">Inputs!D19</f>
        <v>50000</v>
      </c>
      <c r="D13" s="11" t="n">
        <f aca="false">Inputs!D19*Inputs!E19</f>
        <v>0</v>
      </c>
      <c r="E13" s="28" t="n">
        <f aca="false">Inputs!G19</f>
        <v>0.2</v>
      </c>
      <c r="F13" s="11" t="n">
        <f aca="false">D13*E13</f>
        <v>0</v>
      </c>
      <c r="G13" s="11" t="n">
        <f aca="false">Inputs!H19</f>
        <v>175</v>
      </c>
      <c r="H13" s="14" t="n">
        <f aca="false">ROUND(Inputs!D19*Inputs!E19*Inputs!C32*Inputs!G19*Inputs!H19,0)</f>
        <v>0</v>
      </c>
      <c r="I13" s="14" t="n">
        <f aca="false">ROUND(Inputs!D19*Inputs!E19*Inputs!D32*Inputs!G19*Inputs!H19,0)</f>
        <v>0</v>
      </c>
      <c r="J13" s="14" t="n">
        <f aca="false">ROUND(Inputs!D19*Inputs!E19*Inputs!E32*Inputs!G19*Inputs!H19,0)</f>
        <v>0</v>
      </c>
      <c r="K13" s="14" t="n">
        <f aca="false">ROUND(Inputs!D19*Inputs!E19*Inputs!F32*Inputs!G19*Inputs!H19,0)</f>
        <v>0</v>
      </c>
    </row>
    <row r="14" customFormat="false" ht="15" hidden="false" customHeight="true" outlineLevel="0" collapsed="false">
      <c r="A14" s="29" t="s">
        <v>187</v>
      </c>
      <c r="B14" s="30"/>
      <c r="C14" s="30"/>
      <c r="D14" s="30"/>
      <c r="E14" s="30"/>
      <c r="F14" s="30"/>
      <c r="G14" s="30"/>
      <c r="H14" s="31" t="n">
        <f aca="false">SUM(H5:H13)</f>
        <v>5000</v>
      </c>
      <c r="I14" s="31" t="n">
        <f aca="false">SUM(I5:I13)</f>
        <v>13600</v>
      </c>
      <c r="J14" s="31" t="n">
        <f aca="false">SUM(J5:J13)</f>
        <v>46975</v>
      </c>
      <c r="K14" s="31" t="n">
        <f aca="false">SUM(K5:K13)</f>
        <v>102100</v>
      </c>
    </row>
    <row r="15" customFormat="false" ht="15" hidden="false" customHeight="true" outlineLevel="0" collapsed="false">
      <c r="A15" s="32" t="s">
        <v>188</v>
      </c>
      <c r="H15" s="33" t="n">
        <v>100000</v>
      </c>
      <c r="I15" s="33" t="n">
        <v>100000</v>
      </c>
      <c r="J15" s="33" t="n">
        <v>100000</v>
      </c>
      <c r="K15" s="33" t="n">
        <v>100000</v>
      </c>
    </row>
    <row r="16" customFormat="false" ht="15" hidden="false" customHeight="true" outlineLevel="0" collapsed="false">
      <c r="A16" s="18" t="s">
        <v>189</v>
      </c>
      <c r="H16" s="34" t="n">
        <f aca="false">H15-H14</f>
        <v>95000</v>
      </c>
      <c r="I16" s="34" t="n">
        <f aca="false">I15-I14</f>
        <v>86400</v>
      </c>
      <c r="J16" s="34" t="n">
        <f aca="false">J15-J14</f>
        <v>53025</v>
      </c>
      <c r="K16" s="34" t="n">
        <f aca="false">K15-K14</f>
        <v>-2100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5C8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4" min="3" style="1" width="12"/>
    <col collapsed="false" customWidth="true" hidden="false" outlineLevel="0" max="7" min="5" style="1" width="10"/>
    <col collapsed="false" customWidth="true" hidden="false" outlineLevel="0" max="11" min="8" style="1" width="14"/>
  </cols>
  <sheetData>
    <row r="1" customFormat="false" ht="15.75" hidden="false" customHeight="true" outlineLevel="0" collapsed="false">
      <c r="A1" s="2" t="s">
        <v>190</v>
      </c>
      <c r="B1" s="2"/>
      <c r="C1" s="2"/>
      <c r="D1" s="2"/>
      <c r="E1" s="2"/>
      <c r="F1" s="2"/>
      <c r="G1" s="2"/>
      <c r="H1" s="2"/>
      <c r="I1" s="2"/>
      <c r="J1" s="2"/>
      <c r="K1" s="2"/>
    </row>
    <row r="2" customFormat="false" ht="15" hidden="false" customHeight="true" outlineLevel="0" collapsed="false">
      <c r="A2" s="23" t="s">
        <v>191</v>
      </c>
      <c r="B2" s="23"/>
      <c r="C2" s="23"/>
      <c r="D2" s="23"/>
      <c r="E2" s="23"/>
      <c r="F2" s="23"/>
      <c r="G2" s="23"/>
      <c r="H2" s="23"/>
      <c r="I2" s="23"/>
      <c r="J2" s="23"/>
      <c r="K2" s="23"/>
    </row>
    <row r="4" customFormat="false" ht="15" hidden="false" customHeight="true" outlineLevel="0" collapsed="false">
      <c r="A4" s="4" t="s">
        <v>11</v>
      </c>
      <c r="B4" s="4" t="s">
        <v>2</v>
      </c>
      <c r="C4" s="4" t="s">
        <v>13</v>
      </c>
      <c r="D4" s="4" t="s">
        <v>182</v>
      </c>
      <c r="E4" s="4" t="s">
        <v>183</v>
      </c>
      <c r="F4" s="4" t="s">
        <v>184</v>
      </c>
      <c r="G4" s="4" t="s">
        <v>185</v>
      </c>
      <c r="H4" s="4" t="s">
        <v>89</v>
      </c>
      <c r="I4" s="4" t="s">
        <v>90</v>
      </c>
      <c r="J4" s="4" t="s">
        <v>91</v>
      </c>
      <c r="K4" s="4" t="s">
        <v>186</v>
      </c>
    </row>
    <row r="5" customFormat="false" ht="15" hidden="false" customHeight="true" outlineLevel="0" collapsed="false">
      <c r="A5" s="18" t="str">
        <f aca="false">Inputs!B11</f>
        <v>10bis</v>
      </c>
      <c r="B5" s="17" t="s">
        <v>7</v>
      </c>
      <c r="C5" s="8" t="n">
        <f aca="false">Inputs!D11</f>
        <v>6000</v>
      </c>
      <c r="D5" s="8" t="n">
        <f aca="false">Inputs!D11*Inputs!F11</f>
        <v>1800</v>
      </c>
      <c r="E5" s="24" t="n">
        <f aca="false">Inputs!G11</f>
        <v>0.25</v>
      </c>
      <c r="F5" s="8" t="n">
        <f aca="false">D5*E5</f>
        <v>450</v>
      </c>
      <c r="G5" s="8" t="n">
        <f aca="false">Inputs!H11</f>
        <v>150</v>
      </c>
      <c r="H5" s="25" t="n">
        <f aca="false">ROUND(Inputs!D11*Inputs!F11*Inputs!G24*Inputs!G11*Inputs!H11,0)</f>
        <v>0</v>
      </c>
      <c r="I5" s="25" t="n">
        <f aca="false">ROUND(Inputs!D11*Inputs!F11*Inputs!H24*Inputs!G11*Inputs!H11,0)</f>
        <v>5000</v>
      </c>
      <c r="J5" s="25" t="n">
        <f aca="false">ROUND(Inputs!D11*Inputs!F11*Inputs!I24*Inputs!G11*Inputs!H11,0)</f>
        <v>20000</v>
      </c>
      <c r="K5" s="25" t="n">
        <f aca="false">ROUND(Inputs!D11*Inputs!F11*Inputs!J24*Inputs!G11*Inputs!H11,0)</f>
        <v>40000</v>
      </c>
    </row>
    <row r="6" customFormat="false" ht="15" hidden="false" customHeight="true" outlineLevel="0" collapsed="false">
      <c r="A6" s="18" t="str">
        <f aca="false">Inputs!B12</f>
        <v>Plannie</v>
      </c>
      <c r="B6" s="17" t="s">
        <v>116</v>
      </c>
      <c r="C6" s="8" t="n">
        <f aca="false">Inputs!D12</f>
        <v>3000</v>
      </c>
      <c r="D6" s="8" t="n">
        <f aca="false">Inputs!D12*Inputs!F12</f>
        <v>600</v>
      </c>
      <c r="E6" s="24" t="n">
        <f aca="false">Inputs!G12</f>
        <v>0.2</v>
      </c>
      <c r="F6" s="8" t="n">
        <f aca="false">D6*E6</f>
        <v>120</v>
      </c>
      <c r="G6" s="8" t="n">
        <f aca="false">Inputs!H12</f>
        <v>200</v>
      </c>
      <c r="H6" s="25" t="n">
        <f aca="false">ROUND(Inputs!D12*Inputs!F12*Inputs!G25*Inputs!G12*Inputs!H12,0)</f>
        <v>0</v>
      </c>
      <c r="I6" s="25" t="n">
        <f aca="false">ROUND(Inputs!D12*Inputs!F12*Inputs!H25*Inputs!G12*Inputs!H12,0)</f>
        <v>2400</v>
      </c>
      <c r="J6" s="25" t="n">
        <f aca="false">ROUND(Inputs!D12*Inputs!F12*Inputs!I25*Inputs!G12*Inputs!H12,0)</f>
        <v>7200</v>
      </c>
      <c r="K6" s="25" t="n">
        <f aca="false">ROUND(Inputs!D12*Inputs!F12*Inputs!J25*Inputs!G12*Inputs!H12,0)</f>
        <v>18000</v>
      </c>
    </row>
    <row r="7" customFormat="false" ht="15" hidden="false" customHeight="true" outlineLevel="0" collapsed="false">
      <c r="A7" s="18" t="str">
        <f aca="false">Inputs!B13</f>
        <v>Arbox</v>
      </c>
      <c r="B7" s="17" t="s">
        <v>128</v>
      </c>
      <c r="C7" s="8" t="n">
        <f aca="false">Inputs!D13</f>
        <v>7000</v>
      </c>
      <c r="D7" s="8" t="n">
        <f aca="false">Inputs!D13*Inputs!F13</f>
        <v>700</v>
      </c>
      <c r="E7" s="24" t="n">
        <f aca="false">Inputs!G13</f>
        <v>0.25</v>
      </c>
      <c r="F7" s="8" t="n">
        <f aca="false">D7*E7</f>
        <v>175</v>
      </c>
      <c r="G7" s="8" t="n">
        <f aca="false">Inputs!H13</f>
        <v>250</v>
      </c>
      <c r="H7" s="25" t="n">
        <f aca="false">ROUND(Inputs!D13*Inputs!F13*Inputs!G26*Inputs!G13*Inputs!H13,0)</f>
        <v>0</v>
      </c>
      <c r="I7" s="25" t="n">
        <f aca="false">ROUND(Inputs!D13*Inputs!F13*Inputs!H26*Inputs!G13*Inputs!H13,0)</f>
        <v>0</v>
      </c>
      <c r="J7" s="25" t="n">
        <f aca="false">ROUND(Inputs!D13*Inputs!F13*Inputs!I26*Inputs!G13*Inputs!H13,0)</f>
        <v>7500</v>
      </c>
      <c r="K7" s="25" t="n">
        <f aca="false">ROUND(Inputs!D13*Inputs!F13*Inputs!J26*Inputs!G13*Inputs!H13,0)</f>
        <v>25000</v>
      </c>
    </row>
    <row r="8" customFormat="false" ht="15" hidden="false" customHeight="true" outlineLevel="0" collapsed="false">
      <c r="A8" s="18" t="str">
        <f aca="false">Inputs!B14</f>
        <v>Assuta Pilot</v>
      </c>
      <c r="B8" s="17" t="s">
        <v>138</v>
      </c>
      <c r="C8" s="8" t="n">
        <f aca="false">Inputs!D14</f>
        <v>400</v>
      </c>
      <c r="D8" s="8" t="n">
        <f aca="false">Inputs!D14*Inputs!F14</f>
        <v>50</v>
      </c>
      <c r="E8" s="24" t="n">
        <f aca="false">Inputs!G14</f>
        <v>0.25</v>
      </c>
      <c r="F8" s="8" t="n">
        <f aca="false">D8*E8</f>
        <v>12.5</v>
      </c>
      <c r="G8" s="8" t="n">
        <f aca="false">Inputs!H14</f>
        <v>250</v>
      </c>
      <c r="H8" s="25" t="n">
        <f aca="false">ROUND(Inputs!D14*Inputs!F14*Inputs!G27*Inputs!G14*Inputs!H14,0)</f>
        <v>0</v>
      </c>
      <c r="I8" s="25" t="n">
        <f aca="false">ROUND(Inputs!D14*Inputs!F14*Inputs!H27*Inputs!G14*Inputs!H14,0)</f>
        <v>0</v>
      </c>
      <c r="J8" s="25" t="n">
        <f aca="false">ROUND(Inputs!D14*Inputs!F14*Inputs!I27*Inputs!G14*Inputs!H14,0)</f>
        <v>1500</v>
      </c>
      <c r="K8" s="25" t="n">
        <f aca="false">ROUND(Inputs!D14*Inputs!F14*Inputs!J27*Inputs!G14*Inputs!H14,0)</f>
        <v>3000</v>
      </c>
    </row>
    <row r="9" customFormat="false" ht="15" hidden="false" customHeight="true" outlineLevel="0" collapsed="false">
      <c r="A9" s="18" t="str">
        <f aca="false">Inputs!B15</f>
        <v>Yango Deli</v>
      </c>
      <c r="B9" s="17" t="s">
        <v>7</v>
      </c>
      <c r="C9" s="8" t="n">
        <f aca="false">Inputs!D15</f>
        <v>2000</v>
      </c>
      <c r="D9" s="8" t="n">
        <f aca="false">Inputs!D15*Inputs!F15</f>
        <v>400</v>
      </c>
      <c r="E9" s="24" t="n">
        <f aca="false">Inputs!G15</f>
        <v>0.25</v>
      </c>
      <c r="F9" s="8" t="n">
        <f aca="false">D9*E9</f>
        <v>100</v>
      </c>
      <c r="G9" s="8" t="n">
        <f aca="false">Inputs!H15</f>
        <v>150</v>
      </c>
      <c r="H9" s="25" t="n">
        <f aca="false">ROUND(Inputs!D15*Inputs!F15*Inputs!G28*Inputs!G15*Inputs!H15,0)</f>
        <v>0</v>
      </c>
      <c r="I9" s="25" t="n">
        <f aca="false">ROUND(Inputs!D15*Inputs!F15*Inputs!H28*Inputs!G15*Inputs!H15,0)</f>
        <v>0</v>
      </c>
      <c r="J9" s="25" t="n">
        <f aca="false">ROUND(Inputs!D15*Inputs!F15*Inputs!I28*Inputs!G15*Inputs!H15,0)</f>
        <v>3000</v>
      </c>
      <c r="K9" s="25" t="n">
        <f aca="false">ROUND(Inputs!D15*Inputs!F15*Inputs!J28*Inputs!G15*Inputs!H15,0)</f>
        <v>10000</v>
      </c>
    </row>
    <row r="10" customFormat="false" ht="15" hidden="false" customHeight="true" outlineLevel="0" collapsed="false">
      <c r="A10" s="26" t="str">
        <f aca="false">Inputs!B16</f>
        <v>Wolt expand (existing)</v>
      </c>
      <c r="B10" s="27" t="s">
        <v>7</v>
      </c>
      <c r="C10" s="11" t="n">
        <f aca="false">Inputs!D16</f>
        <v>10000</v>
      </c>
      <c r="D10" s="11" t="n">
        <f aca="false">Inputs!D16*Inputs!F16</f>
        <v>1500</v>
      </c>
      <c r="E10" s="28" t="n">
        <f aca="false">Inputs!G16</f>
        <v>0.25</v>
      </c>
      <c r="F10" s="11" t="n">
        <f aca="false">D10*E10</f>
        <v>375</v>
      </c>
      <c r="G10" s="11" t="n">
        <f aca="false">Inputs!H16</f>
        <v>150</v>
      </c>
      <c r="H10" s="14" t="n">
        <f aca="false">ROUND(Inputs!D16*Inputs!F16*Inputs!G29*Inputs!G16*Inputs!H16,0)</f>
        <v>6000</v>
      </c>
      <c r="I10" s="14" t="n">
        <f aca="false">ROUND(Inputs!D16*Inputs!F16*Inputs!H29*Inputs!G16*Inputs!H16,0)</f>
        <v>9000</v>
      </c>
      <c r="J10" s="14" t="n">
        <f aca="false">ROUND(Inputs!D16*Inputs!F16*Inputs!I29*Inputs!G16*Inputs!H16,0)</f>
        <v>14000</v>
      </c>
      <c r="K10" s="14" t="n">
        <f aca="false">ROUND(Inputs!D16*Inputs!F16*Inputs!J29*Inputs!G16*Inputs!H16,0)</f>
        <v>18000</v>
      </c>
    </row>
    <row r="11" customFormat="false" ht="15" hidden="false" customHeight="true" outlineLevel="0" collapsed="false">
      <c r="A11" s="26" t="str">
        <f aca="false">Inputs!B17</f>
        <v>Wolt Merchants</v>
      </c>
      <c r="B11" s="27" t="s">
        <v>128</v>
      </c>
      <c r="C11" s="11" t="n">
        <f aca="false">Inputs!D17</f>
        <v>4000</v>
      </c>
      <c r="D11" s="11" t="n">
        <f aca="false">Inputs!D17*Inputs!F17</f>
        <v>400</v>
      </c>
      <c r="E11" s="28" t="n">
        <f aca="false">Inputs!G17</f>
        <v>0.25</v>
      </c>
      <c r="F11" s="11" t="n">
        <f aca="false">D11*E11</f>
        <v>100</v>
      </c>
      <c r="G11" s="11" t="n">
        <f aca="false">Inputs!H17</f>
        <v>150</v>
      </c>
      <c r="H11" s="14" t="n">
        <f aca="false">ROUND(Inputs!D17*Inputs!F17*Inputs!G30*Inputs!G17*Inputs!H17,0)</f>
        <v>0</v>
      </c>
      <c r="I11" s="14" t="n">
        <f aca="false">ROUND(Inputs!D17*Inputs!F17*Inputs!H30*Inputs!G17*Inputs!H17,0)</f>
        <v>0</v>
      </c>
      <c r="J11" s="14" t="n">
        <f aca="false">ROUND(Inputs!D17*Inputs!F17*Inputs!I30*Inputs!G17*Inputs!H17,0)</f>
        <v>3500</v>
      </c>
      <c r="K11" s="14" t="n">
        <f aca="false">ROUND(Inputs!D17*Inputs!F17*Inputs!J30*Inputs!G17*Inputs!H17,0)</f>
        <v>10000</v>
      </c>
    </row>
    <row r="12" customFormat="false" ht="15" hidden="false" customHeight="true" outlineLevel="0" collapsed="false">
      <c r="A12" s="26" t="str">
        <f aca="false">Inputs!B18</f>
        <v>Wix Upsell</v>
      </c>
      <c r="B12" s="27" t="s">
        <v>7</v>
      </c>
      <c r="C12" s="11" t="n">
        <f aca="false">Inputs!D18</f>
        <v>20000</v>
      </c>
      <c r="D12" s="11" t="n">
        <f aca="false">Inputs!D18*Inputs!F18</f>
        <v>1000</v>
      </c>
      <c r="E12" s="28" t="n">
        <f aca="false">Inputs!G18</f>
        <v>0.25</v>
      </c>
      <c r="F12" s="11" t="n">
        <f aca="false">D12*E12</f>
        <v>250</v>
      </c>
      <c r="G12" s="11" t="n">
        <f aca="false">Inputs!H18</f>
        <v>150</v>
      </c>
      <c r="H12" s="14" t="n">
        <f aca="false">ROUND(Inputs!D18*Inputs!F18*Inputs!G31*Inputs!G18*Inputs!H18,0)</f>
        <v>0</v>
      </c>
      <c r="I12" s="14" t="n">
        <f aca="false">ROUND(Inputs!D18*Inputs!F18*Inputs!H31*Inputs!G18*Inputs!H18,0)</f>
        <v>2000</v>
      </c>
      <c r="J12" s="14" t="n">
        <f aca="false">ROUND(Inputs!D18*Inputs!F18*Inputs!I31*Inputs!G18*Inputs!H18,0)</f>
        <v>6000</v>
      </c>
      <c r="K12" s="14" t="n">
        <f aca="false">ROUND(Inputs!D18*Inputs!F18*Inputs!J31*Inputs!G18*Inputs!H18,0)</f>
        <v>12000</v>
      </c>
    </row>
    <row r="13" customFormat="false" ht="15" hidden="false" customHeight="true" outlineLevel="0" collapsed="false">
      <c r="A13" s="26" t="str">
        <f aca="false">Inputs!B19</f>
        <v>Isracard/Cal</v>
      </c>
      <c r="B13" s="27" t="s">
        <v>128</v>
      </c>
      <c r="C13" s="11" t="n">
        <f aca="false">Inputs!D19</f>
        <v>50000</v>
      </c>
      <c r="D13" s="11" t="n">
        <f aca="false">Inputs!D19*Inputs!F19</f>
        <v>500</v>
      </c>
      <c r="E13" s="28" t="n">
        <f aca="false">Inputs!G19</f>
        <v>0.2</v>
      </c>
      <c r="F13" s="11" t="n">
        <f aca="false">D13*E13</f>
        <v>100</v>
      </c>
      <c r="G13" s="11" t="n">
        <f aca="false">Inputs!H19</f>
        <v>175</v>
      </c>
      <c r="H13" s="14" t="n">
        <f aca="false">ROUND(Inputs!D19*Inputs!F19*Inputs!G32*Inputs!G19*Inputs!H19,0)</f>
        <v>0</v>
      </c>
      <c r="I13" s="14" t="n">
        <f aca="false">ROUND(Inputs!D19*Inputs!F19*Inputs!H32*Inputs!G19*Inputs!H19,0)</f>
        <v>0</v>
      </c>
      <c r="J13" s="14" t="n">
        <f aca="false">ROUND(Inputs!D19*Inputs!F19*Inputs!I32*Inputs!G19*Inputs!H19,0)</f>
        <v>0</v>
      </c>
      <c r="K13" s="14" t="n">
        <f aca="false">ROUND(Inputs!D19*Inputs!F19*Inputs!J32*Inputs!G19*Inputs!H19,0)</f>
        <v>5000</v>
      </c>
    </row>
    <row r="14" customFormat="false" ht="15" hidden="false" customHeight="true" outlineLevel="0" collapsed="false">
      <c r="A14" s="29" t="s">
        <v>187</v>
      </c>
      <c r="B14" s="30"/>
      <c r="C14" s="30"/>
      <c r="D14" s="30"/>
      <c r="E14" s="30"/>
      <c r="F14" s="30"/>
      <c r="G14" s="30"/>
      <c r="H14" s="31" t="n">
        <f aca="false">SUM(H5:H13)</f>
        <v>6000</v>
      </c>
      <c r="I14" s="31" t="n">
        <f aca="false">SUM(I5:I13)</f>
        <v>18400</v>
      </c>
      <c r="J14" s="31" t="n">
        <f aca="false">SUM(J5:J13)</f>
        <v>62700</v>
      </c>
      <c r="K14" s="31" t="n">
        <f aca="false">SUM(K5:K13)</f>
        <v>141000</v>
      </c>
    </row>
    <row r="15" customFormat="false" ht="15" hidden="false" customHeight="true" outlineLevel="0" collapsed="false">
      <c r="A15" s="32" t="s">
        <v>188</v>
      </c>
      <c r="H15" s="33" t="n">
        <v>100000</v>
      </c>
      <c r="I15" s="33" t="n">
        <v>100000</v>
      </c>
      <c r="J15" s="33" t="n">
        <v>100000</v>
      </c>
      <c r="K15" s="33" t="n">
        <v>100000</v>
      </c>
    </row>
    <row r="16" customFormat="false" ht="15" hidden="false" customHeight="true" outlineLevel="0" collapsed="false">
      <c r="A16" s="35" t="s">
        <v>192</v>
      </c>
      <c r="H16" s="36" t="n">
        <f aca="false">H14-H15</f>
        <v>-94000</v>
      </c>
      <c r="I16" s="36" t="n">
        <f aca="false">I14-I15</f>
        <v>-81600</v>
      </c>
      <c r="J16" s="36" t="n">
        <f aca="false">J14-J15</f>
        <v>-37300</v>
      </c>
      <c r="K16" s="36" t="n">
        <f aca="false">K14-K15</f>
        <v>41000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600"/>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5" min="2" style="1" width="18"/>
  </cols>
  <sheetData>
    <row r="1" customFormat="false" ht="15.75" hidden="false" customHeight="true" outlineLevel="0" collapsed="false">
      <c r="A1" s="2" t="s">
        <v>193</v>
      </c>
      <c r="B1" s="2"/>
      <c r="C1" s="2"/>
      <c r="D1" s="2"/>
      <c r="E1" s="2"/>
    </row>
    <row r="3" customFormat="false" ht="15" hidden="false" customHeight="true" outlineLevel="0" collapsed="false">
      <c r="A3" s="4"/>
      <c r="B3" s="4" t="s">
        <v>89</v>
      </c>
      <c r="C3" s="4" t="s">
        <v>90</v>
      </c>
      <c r="D3" s="4" t="s">
        <v>91</v>
      </c>
      <c r="E3" s="4" t="s">
        <v>186</v>
      </c>
    </row>
    <row r="4" customFormat="false" ht="15" hidden="false" customHeight="true" outlineLevel="0" collapsed="false">
      <c r="A4" s="18" t="s">
        <v>194</v>
      </c>
      <c r="B4" s="37" t="n">
        <f aca="false">'Conservative (100K)'!H14</f>
        <v>5000</v>
      </c>
      <c r="C4" s="37" t="n">
        <f aca="false">'Conservative (100K)'!I14</f>
        <v>13600</v>
      </c>
      <c r="D4" s="37" t="n">
        <f aca="false">'Conservative (100K)'!J14</f>
        <v>46975</v>
      </c>
      <c r="E4" s="37" t="n">
        <f aca="false">'Conservative (100K)'!K14</f>
        <v>102100</v>
      </c>
    </row>
    <row r="5" customFormat="false" ht="15" hidden="false" customHeight="true" outlineLevel="0" collapsed="false">
      <c r="A5" s="18" t="s">
        <v>195</v>
      </c>
      <c r="B5" s="37" t="n">
        <f aca="false">'Upside (140K+)'!H14</f>
        <v>6000</v>
      </c>
      <c r="C5" s="37" t="n">
        <f aca="false">'Upside (140K+)'!I14</f>
        <v>18400</v>
      </c>
      <c r="D5" s="37" t="n">
        <f aca="false">'Upside (140K+)'!J14</f>
        <v>62700</v>
      </c>
      <c r="E5" s="37" t="n">
        <f aca="false">'Upside (140K+)'!K14</f>
        <v>141000</v>
      </c>
    </row>
    <row r="6" customFormat="false" ht="15" hidden="false" customHeight="true" outlineLevel="0" collapsed="false">
      <c r="A6" s="32" t="s">
        <v>188</v>
      </c>
      <c r="B6" s="38" t="n">
        <v>100000</v>
      </c>
      <c r="C6" s="38" t="n">
        <v>100000</v>
      </c>
      <c r="D6" s="38" t="n">
        <v>100000</v>
      </c>
      <c r="E6" s="38" t="n">
        <v>100000</v>
      </c>
    </row>
    <row r="8" customFormat="false" ht="15" hidden="false" customHeight="true" outlineLevel="0" collapsed="false">
      <c r="A8" s="3" t="s">
        <v>196</v>
      </c>
    </row>
    <row r="9" customFormat="false" ht="15" hidden="false" customHeight="true" outlineLevel="0" collapsed="false">
      <c r="A9" s="39" t="s">
        <v>197</v>
      </c>
      <c r="B9" s="39"/>
      <c r="C9" s="39"/>
      <c r="D9" s="39"/>
      <c r="E9" s="39"/>
    </row>
    <row r="10" customFormat="false" ht="15" hidden="false" customHeight="true" outlineLevel="0" collapsed="false">
      <c r="A10" s="39" t="s">
        <v>198</v>
      </c>
      <c r="B10" s="39"/>
      <c r="C10" s="39"/>
      <c r="D10" s="39"/>
      <c r="E10" s="39"/>
    </row>
    <row r="11" customFormat="false" ht="15" hidden="false" customHeight="true" outlineLevel="0" collapsed="false">
      <c r="A11" s="39" t="s">
        <v>199</v>
      </c>
      <c r="B11" s="39"/>
      <c r="C11" s="39"/>
      <c r="D11" s="39"/>
      <c r="E11" s="39"/>
    </row>
    <row r="12" customFormat="false" ht="15" hidden="false" customHeight="true" outlineLevel="0" collapsed="false">
      <c r="A12" s="39" t="s">
        <v>200</v>
      </c>
      <c r="B12" s="39"/>
      <c r="C12" s="39"/>
      <c r="D12" s="39"/>
      <c r="E12" s="39"/>
    </row>
    <row r="13" customFormat="false" ht="15" hidden="false" customHeight="true" outlineLevel="0" collapsed="false">
      <c r="A13" s="39" t="s">
        <v>201</v>
      </c>
      <c r="B13" s="39"/>
      <c r="C13" s="39"/>
      <c r="D13" s="39"/>
      <c r="E13" s="39"/>
    </row>
    <row r="14" customFormat="false" ht="15" hidden="false" customHeight="true" outlineLevel="0" collapsed="false">
      <c r="A14" s="39" t="s">
        <v>202</v>
      </c>
      <c r="B14" s="39"/>
      <c r="C14" s="39"/>
      <c r="D14" s="39"/>
      <c r="E14" s="39"/>
    </row>
  </sheetData>
  <mergeCells count="7">
    <mergeCell ref="A1:E1"/>
    <mergeCell ref="A9:E9"/>
    <mergeCell ref="A10:E10"/>
    <mergeCell ref="A11:E11"/>
    <mergeCell ref="A12:E12"/>
    <mergeCell ref="A13:E13"/>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30"/>
    <col collapsed="false" customWidth="true" hidden="false" outlineLevel="0" max="4" min="4" style="0" width="32"/>
    <col collapsed="false" customWidth="true" hidden="false" outlineLevel="0" max="5" min="5" style="0" width="30"/>
    <col collapsed="false" customWidth="true" hidden="false" outlineLevel="0" max="6" min="6" style="0" width="20"/>
  </cols>
  <sheetData>
    <row r="1" customFormat="false" ht="16.15" hidden="false" customHeight="false" outlineLevel="0" collapsed="false">
      <c r="A1" s="40" t="s">
        <v>203</v>
      </c>
      <c r="B1" s="40"/>
      <c r="C1" s="40"/>
      <c r="D1" s="40"/>
      <c r="E1" s="40"/>
      <c r="F1" s="40"/>
    </row>
    <row r="2" customFormat="false" ht="15" hidden="false" customHeight="true" outlineLevel="0" collapsed="false">
      <c r="A2" s="41" t="s">
        <v>204</v>
      </c>
      <c r="B2" s="41"/>
      <c r="C2" s="41"/>
      <c r="D2" s="41"/>
      <c r="E2" s="41"/>
      <c r="F2" s="41"/>
    </row>
    <row r="4" customFormat="false" ht="15" hidden="false" customHeight="false" outlineLevel="0" collapsed="false">
      <c r="A4" s="42" t="s">
        <v>205</v>
      </c>
    </row>
    <row r="5" customFormat="false" ht="23.85" hidden="false" customHeight="true" outlineLevel="0" collapsed="false">
      <c r="A5" s="43" t="s">
        <v>206</v>
      </c>
      <c r="B5" s="43"/>
      <c r="C5" s="43"/>
      <c r="D5" s="43"/>
      <c r="E5" s="43"/>
      <c r="F5" s="43"/>
    </row>
    <row r="7" customFormat="false" ht="15" hidden="false" customHeight="false" outlineLevel="0" collapsed="false">
      <c r="A7" s="4" t="s">
        <v>207</v>
      </c>
      <c r="B7" s="4" t="s">
        <v>208</v>
      </c>
      <c r="C7" s="4" t="s">
        <v>209</v>
      </c>
      <c r="D7" s="4" t="s">
        <v>210</v>
      </c>
      <c r="E7" s="4" t="s">
        <v>18</v>
      </c>
      <c r="F7" s="4" t="s">
        <v>211</v>
      </c>
    </row>
    <row r="8" customFormat="false" ht="35.05" hidden="false" customHeight="false" outlineLevel="0" collapsed="false">
      <c r="A8" s="44" t="s">
        <v>212</v>
      </c>
      <c r="B8" s="44" t="s">
        <v>213</v>
      </c>
      <c r="C8" s="44" t="s">
        <v>214</v>
      </c>
      <c r="D8" s="44" t="s">
        <v>215</v>
      </c>
      <c r="E8" s="44" t="s">
        <v>216</v>
      </c>
      <c r="F8" s="44" t="s">
        <v>217</v>
      </c>
    </row>
    <row r="9" customFormat="false" ht="35.05" hidden="false" customHeight="false" outlineLevel="0" collapsed="false">
      <c r="A9" s="44" t="s">
        <v>218</v>
      </c>
      <c r="B9" s="44" t="s">
        <v>219</v>
      </c>
      <c r="C9" s="44" t="s">
        <v>220</v>
      </c>
      <c r="D9" s="44" t="s">
        <v>221</v>
      </c>
      <c r="E9" s="44" t="s">
        <v>222</v>
      </c>
      <c r="F9" s="44" t="s">
        <v>217</v>
      </c>
    </row>
    <row r="10" customFormat="false" ht="23.85" hidden="false" customHeight="false" outlineLevel="0" collapsed="false">
      <c r="A10" s="44" t="s">
        <v>223</v>
      </c>
      <c r="B10" s="44" t="s">
        <v>224</v>
      </c>
      <c r="C10" s="44" t="s">
        <v>225</v>
      </c>
      <c r="D10" s="44" t="s">
        <v>226</v>
      </c>
      <c r="E10" s="44" t="s">
        <v>227</v>
      </c>
      <c r="F10" s="44" t="s">
        <v>217</v>
      </c>
    </row>
    <row r="12" customFormat="false" ht="22.35" hidden="false" customHeight="true" outlineLevel="0" collapsed="false">
      <c r="A12" s="23" t="s">
        <v>228</v>
      </c>
      <c r="B12" s="23"/>
      <c r="C12" s="23"/>
      <c r="D12" s="23"/>
      <c r="E12" s="23"/>
      <c r="F12" s="23"/>
    </row>
    <row r="14" customFormat="false" ht="15" hidden="false" customHeight="false" outlineLevel="0" collapsed="false">
      <c r="A14" s="45" t="s">
        <v>229</v>
      </c>
      <c r="B14" s="45"/>
      <c r="C14" s="45"/>
      <c r="D14" s="45"/>
      <c r="E14" s="45"/>
      <c r="F14" s="45"/>
    </row>
    <row r="15" customFormat="false" ht="15" hidden="false" customHeight="true" outlineLevel="0" collapsed="false">
      <c r="A15" s="39" t="s">
        <v>230</v>
      </c>
      <c r="B15" s="39"/>
      <c r="C15" s="39"/>
      <c r="D15" s="39"/>
      <c r="E15" s="39"/>
      <c r="F15" s="39"/>
    </row>
    <row r="16" customFormat="false" ht="15" hidden="false" customHeight="true" outlineLevel="0" collapsed="false">
      <c r="A16" s="39" t="s">
        <v>231</v>
      </c>
      <c r="B16" s="39"/>
      <c r="C16" s="39"/>
      <c r="D16" s="39"/>
      <c r="E16" s="39"/>
      <c r="F16" s="39"/>
    </row>
    <row r="17" customFormat="false" ht="15" hidden="false" customHeight="true" outlineLevel="0" collapsed="false">
      <c r="A17" s="39" t="s">
        <v>232</v>
      </c>
      <c r="B17" s="39"/>
      <c r="C17" s="39"/>
      <c r="D17" s="39"/>
      <c r="E17" s="39"/>
      <c r="F17" s="39"/>
    </row>
    <row r="18" customFormat="false" ht="15" hidden="false" customHeight="true" outlineLevel="0" collapsed="false">
      <c r="A18" s="39" t="s">
        <v>233</v>
      </c>
      <c r="B18" s="39"/>
      <c r="C18" s="39"/>
      <c r="D18" s="39"/>
      <c r="E18" s="39"/>
      <c r="F18" s="39"/>
    </row>
  </sheetData>
  <mergeCells count="9">
    <mergeCell ref="A1:F1"/>
    <mergeCell ref="A2:F2"/>
    <mergeCell ref="A5:F5"/>
    <mergeCell ref="A12:F12"/>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2026-07-21T09:59:26Z</dcterms:created>
  <dc:creator>openpyxl</dc:creator>
  <dc:description/>
  <dc:language>en-US</dc:language>
  <cp:lastModifiedBy/>
  <dcterms:modified xsi:type="dcterms:W3CDTF">2026-07-23T05:42:58Z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